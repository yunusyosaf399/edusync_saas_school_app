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ab23e2c2014f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28dec5c613904609"/>
    <x:sheet xmlns:r="http://schemas.openxmlformats.org/officeDocument/2006/relationships" name="Roadmap" sheetId="2" r:id="R520d675acf014d0f"/>
    <x:sheet xmlns:r="http://schemas.openxmlformats.org/officeDocument/2006/relationships" name="Task Register" sheetId="3" r:id="R291141928c9f4730"/>
    <x:sheet xmlns:r="http://schemas.openxmlformats.org/officeDocument/2006/relationships" name="Milestones" sheetId="4" r:id="R8d53cef66c824284"/>
    <x:sheet xmlns:r="http://schemas.openxmlformats.org/officeDocument/2006/relationships" name="Sprints" sheetId="5" r:id="Rf69cff3d74a1452e"/>
    <x:sheet xmlns:r="http://schemas.openxmlformats.org/officeDocument/2006/relationships" name="Release Plan" sheetId="6" r:id="Re8d76dcbe42842df"/>
    <x:sheet xmlns:r="http://schemas.openxmlformats.org/officeDocument/2006/relationships" name="Module Scope" sheetId="7" r:id="R5a52d03d68ea41e7"/>
    <x:sheet xmlns:r="http://schemas.openxmlformats.org/officeDocument/2006/relationships" name="Risks" sheetId="8" r:id="R25c93290ed914bd8"/>
    <x:sheet xmlns:r="http://schemas.openxmlformats.org/officeDocument/2006/relationships" name="RACI" sheetId="9" r:id="R69141f054f3a432d"/>
    <x:sheet xmlns:r="http://schemas.openxmlformats.org/officeDocument/2006/relationships" name="QA &amp; Gates" sheetId="10" r:id="Ra93346cbb8314deb"/>
    <x:sheet xmlns:r="http://schemas.openxmlformats.org/officeDocument/2006/relationships" name="Change Log" sheetId="11" r:id="R6343858d28b443d7"/>
    <x:sheet xmlns:r="http://schemas.openxmlformats.org/officeDocument/2006/relationships" name="Gantt" sheetId="12" r:id="R00f90a3b0aa54ad1"/>
    <x:sheet xmlns:r="http://schemas.openxmlformats.org/officeDocument/2006/relationships" name="Dashboard" sheetId="13" r:id="Rf3b09f228c484cd7"/>
    <x:sheet xmlns:r="http://schemas.openxmlformats.org/officeDocument/2006/relationships" name="README" sheetId="14" r:id="R3eb207b2f39f4da7"/>
    <x:sheet xmlns:r="http://schemas.openxmlformats.org/officeDocument/2006/relationships" name="Future Roadmap" sheetId="15" r:id="Rdd7ad1a8baff47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mmm-yy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B1F33"/>
      </x:patternFill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3" borderId="0" xfId="0" applyNumberFormat="1" applyFont="1" applyFill="1" applyBorder="1"/>
    <x:xf numFmtId="202" fontId="2" fillId="3" borderId="0" xfId="0" applyNumberFormat="1" applyFont="1" applyFill="1" applyBorder="1"/>
    <x:xf numFmtId="202" fontId="2" fillId="3" borderId="0" xfId="0" applyNumberFormat="1" applyFont="1" applyFill="1" applyBorder="1" applyAlignment="1">
      <x:alignment wrapText="1"/>
    </x:xf>
    <x:xf numFmtId="202" fontId="2" fillId="3" borderId="0" xfId="0" applyNumberFormat="1" applyFont="1" applyFill="1" applyBorder="1" applyAlignment="1">
      <x:alignment horizontal="center" wrapText="1"/>
    </x:xf>
    <x:xf numFmtId="202" fontId="2" fillId="3" borderId="0" xfId="0" applyNumberFormat="1" applyFont="1" applyFill="1" applyBorder="1" applyAlignment="1">
      <x:alignment horizontal="center" vertical="center" wrapText="1"/>
    </x:xf>
    <x:xf numFmtId="202" fontId="0" fillId="3" borderId="1" xfId="0" applyNumberFormat="1" applyFont="1" applyFill="1" applyBorder="1"/>
    <x:xf numFmtId="202" fontId="2" fillId="3" borderId="1" xfId="0" applyNumberFormat="1" applyFont="1" applyFill="1" applyBorder="1"/>
    <x:xf numFmtId="202" fontId="2" fillId="3" borderId="1" xfId="0" applyNumberFormat="1" applyFont="1" applyFill="1" applyBorder="1" applyAlignment="1">
      <x:alignment wrapText="1"/>
    </x:xf>
    <x:xf numFmtId="202" fontId="2" fillId="3" borderId="1" xfId="0" applyNumberFormat="1" applyFont="1" applyFill="1" applyBorder="1" applyAlignment="1">
      <x:alignment horizontal="center" wrapText="1"/>
    </x:xf>
    <x:xf numFmtId="202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7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9d15ea6cb447b0" /><Relationship Type="http://schemas.openxmlformats.org/officeDocument/2006/relationships/theme" Target="/xl/theme/theme1.xml" Id="R907994a6b45847d6" /><Relationship Type="http://schemas.openxmlformats.org/officeDocument/2006/relationships/sharedStrings" Target="/xl/sharedStrings.xml" Id="R1050d71449784b76" /><Relationship Type="http://schemas.openxmlformats.org/officeDocument/2006/relationships/worksheet" Target="/xl/worksheets/sheet1.xml" Id="R28dec5c613904609" /><Relationship Type="http://schemas.openxmlformats.org/officeDocument/2006/relationships/worksheet" Target="/xl/worksheets/sheet2.xml" Id="R520d675acf014d0f" /><Relationship Type="http://schemas.openxmlformats.org/officeDocument/2006/relationships/worksheet" Target="/xl/worksheets/sheet3.xml" Id="R291141928c9f4730" /><Relationship Type="http://schemas.openxmlformats.org/officeDocument/2006/relationships/worksheet" Target="/xl/worksheets/sheet4.xml" Id="R8d53cef66c824284" /><Relationship Type="http://schemas.openxmlformats.org/officeDocument/2006/relationships/worksheet" Target="/xl/worksheets/sheet5.xml" Id="Rf69cff3d74a1452e" /><Relationship Type="http://schemas.openxmlformats.org/officeDocument/2006/relationships/worksheet" Target="/xl/worksheets/sheet6.xml" Id="Re8d76dcbe42842df" /><Relationship Type="http://schemas.openxmlformats.org/officeDocument/2006/relationships/worksheet" Target="/xl/worksheets/sheet7.xml" Id="R5a52d03d68ea41e7" /><Relationship Type="http://schemas.openxmlformats.org/officeDocument/2006/relationships/worksheet" Target="/xl/worksheets/sheet8.xml" Id="R25c93290ed914bd8" /><Relationship Type="http://schemas.openxmlformats.org/officeDocument/2006/relationships/worksheet" Target="/xl/worksheets/sheet9.xml" Id="R69141f054f3a432d" /><Relationship Type="http://schemas.openxmlformats.org/officeDocument/2006/relationships/worksheet" Target="/xl/worksheets/sheet10.xml" Id="Ra93346cbb8314deb" /><Relationship Type="http://schemas.openxmlformats.org/officeDocument/2006/relationships/worksheet" Target="/xl/worksheets/sheet11.xml" Id="R6343858d28b443d7" /><Relationship Type="http://schemas.openxmlformats.org/officeDocument/2006/relationships/worksheet" Target="/xl/worksheets/sheet12.xml" Id="R00f90a3b0aa54ad1" /><Relationship Type="http://schemas.openxmlformats.org/officeDocument/2006/relationships/worksheet" Target="/xl/worksheets/sheet13.xml" Id="Rf3b09f228c484cd7" /><Relationship Type="http://schemas.openxmlformats.org/officeDocument/2006/relationships/worksheet" Target="/xl/worksheets/sheet14.xml" Id="R3eb207b2f39f4da7" /><Relationship Type="http://schemas.openxmlformats.org/officeDocument/2006/relationships/worksheet" Target="/xl/worksheets/sheet15.xml" Id="Rdd7ad1a8baff47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a9741a28d44f9a" /><Relationship Type="http://schemas.openxmlformats.org/officeDocument/2006/relationships/chart" Target="/xl/drawings/charts/chart2.xml" Id="R39560ece4da347b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'Dashboard'!$I$4:$I$8</c:f>
              <c:strCache>
                <c:ptCount val="0"/>
              </c:strCache>
            </c:strRef>
          </c:cat>
          <c:val>
            <c:numRef>
              <c:f>'Dashboard'!$J$4:$J$8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Progress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Status</c:v>
          </c:tx>
          <c:cat>
            <c:strRef>
              <c:f>'Dashboard'!$D$4:$D$16</c:f>
              <c:strCache>
                <c:ptCount val="0"/>
              </c:strCache>
            </c:strRef>
          </c:cat>
          <c:val>
            <c:numRef>
              <c:f>'Dashboard'!$E$4:$E$16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Progress %</c:v>
          </c:tx>
          <c:cat>
            <c:strRef>
              <c:f>'Dashboard'!$D$4:$D$16</c:f>
              <c:strCache>
                <c:ptCount val="0"/>
              </c:strCache>
            </c:strRef>
          </c:cat>
          <c:val>
            <c:numRef>
              <c:f>'Dashboard'!$F$4:$F$16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a9741a28d44f9a"/>
        </a:graphicData>
      </a:graphic>
    </xdr:graphicFrame>
    <xdr:clientData/>
  </xdr:twoCellAnchor>
  <xdr:twoCellAnchor>
    <xdr:from>
      <xdr:col>3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560ece4da347b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L16" headerRowCount="1" totalsRowCount="0" totalsRowShown="0">
  <x:tableColumns count="12">
    <x:tableColumn id="1" name="Phase"/>
    <x:tableColumn id="2" name="Name"/>
    <x:tableColumn id="3" name="Start"/>
    <x:tableColumn id="4" name="End"/>
    <x:tableColumn id="5" name="Weeks"/>
    <x:tableColumn id="6" name="Primary Outcome"/>
    <x:tableColumn id="7" name="Release Gate"/>
    <x:tableColumn id="8" name="Owner"/>
    <x:tableColumn id="9" name="Status"/>
    <x:tableColumn id="10" name="Progress %"/>
    <x:tableColumn id="11" name="Dependencies"/>
    <x:tableColumn id="1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skRegisterTable" displayName="TaskRegisterTable" ref="A3:Q111" headerRowCount="1" totalsRowCount="0" totalsRowShown="0">
  <x:tableColumns count="17">
    <x:tableColumn id="1" name="ID"/>
    <x:tableColumn id="2" name="Phase"/>
    <x:tableColumn id="3" name="Workstream"/>
    <x:tableColumn id="4" name="Task / Deliverable"/>
    <x:tableColumn id="5" name="Start"/>
    <x:tableColumn id="6" name="End"/>
    <x:tableColumn id="7" name="Days"/>
    <x:tableColumn id="8" name="Owner"/>
    <x:tableColumn id="9" name="Priority"/>
    <x:tableColumn id="10" name="Status"/>
    <x:tableColumn id="11" name="Progress %"/>
    <x:tableColumn id="12" name="Dependency"/>
    <x:tableColumn id="13" name="Release"/>
    <x:tableColumn id="14" name="Acceptance / Exit Criteria"/>
    <x:tableColumn id="15" name="Risk Flag"/>
    <x:tableColumn id="16" name="Notes"/>
    <x:tableColumn id="17" name="Last Up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lestonesTable" displayName="MilestonesTable" ref="A3:I15" headerRowCount="1" totalsRowCount="0" totalsRowShown="0">
  <x:tableColumns count="9">
    <x:tableColumn id="1" name="ID"/>
    <x:tableColumn id="2" name="Milestone"/>
    <x:tableColumn id="3" name="Target Date"/>
    <x:tableColumn id="4" name="Phase"/>
    <x:tableColumn id="5" name="Deliverable"/>
    <x:tableColumn id="6" name="Approver"/>
    <x:tableColumn id="7" name="Status"/>
    <x:tableColumn id="8" name="Exit Criteria"/>
    <x:tableColumn id="9" name="Next Ste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printsTable" displayName="SprintsTable" ref="A3:H45" headerRowCount="1" totalsRowCount="0" totalsRowShown="0">
  <x:tableColumns count="8">
    <x:tableColumn id="1" name="Sprint"/>
    <x:tableColumn id="2" name="Start"/>
    <x:tableColumn id="3" name="End"/>
    <x:tableColumn id="4" name="Primary Phase"/>
    <x:tableColumn id="5" name="Suggested Focus"/>
    <x:tableColumn id="6" name="Release / Gate"/>
    <x:tableColumn id="7" name="Status"/>
    <x:tableColumn id="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leaseTable" displayName="ReleaseTable" ref="A3:J11" headerRowCount="1" totalsRowCount="0" totalsRowShown="0">
  <x:tableColumns count="10">
    <x:tableColumn id="1" name="Release"/>
    <x:tableColumn id="2" name="Target"/>
    <x:tableColumn id="3" name="Audience"/>
    <x:tableColumn id="4" name="Included Scope"/>
    <x:tableColumn id="5" name="Excluded / Deferred"/>
    <x:tableColumn id="6" name="Entry Criteria"/>
    <x:tableColumn id="7" name="Exit Criteria"/>
    <x:tableColumn id="8" name="Rollback"/>
    <x:tableColumn id="9" name="Support Level"/>
    <x:tableColumn id="10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oduleScopeTable" displayName="ModuleScopeTable" ref="A3:H34" headerRowCount="1" totalsRowCount="0" totalsRowShown="0">
  <x:tableColumns count="8">
    <x:tableColumn id="1" name="Module"/>
    <x:tableColumn id="2" name="Category"/>
    <x:tableColumn id="3" name="Priority"/>
    <x:tableColumn id="4" name="Planned Phase"/>
    <x:tableColumn id="5" name="Release"/>
    <x:tableColumn id="6" name="Optional?"/>
    <x:tableColumn id="7" name="Current Decision"/>
    <x:tableColumn id="8" name="Key 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iskRegisterTable" displayName="RiskRegisterTable" ref="A3:L23" headerRowCount="1" totalsRowCount="0" totalsRowShown="0">
  <x:tableColumns count="12">
    <x:tableColumn id="1" name="ID"/>
    <x:tableColumn id="2" name="Risk"/>
    <x:tableColumn id="3" name="Category"/>
    <x:tableColumn id="4" name="Probability"/>
    <x:tableColumn id="5" name="Impact"/>
    <x:tableColumn id="6" name="Score"/>
    <x:tableColumn id="7" name="Owner"/>
    <x:tableColumn id="8" name="Mitigation"/>
    <x:tableColumn id="9" name="Trigger / Indicator"/>
    <x:tableColumn id="10" name="Contingency"/>
    <x:tableColumn id="11" name="Status"/>
    <x:tableColumn id="12" name="Review Da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GatesTable" displayName="QAGatesTable" ref="A3:J18" headerRowCount="1" totalsRowCount="0" totalsRowShown="0">
  <x:tableColumns count="10">
    <x:tableColumn id="1" name="Area"/>
    <x:tableColumn id="2" name="Minimum Test Scope"/>
    <x:tableColumn id="3" name="When"/>
    <x:tableColumn id="4" name="Owner"/>
    <x:tableColumn id="5" name="Automate?"/>
    <x:tableColumn id="6" name="Blocking?"/>
    <x:tableColumn id="7" name="Pass Criteria"/>
    <x:tableColumn id="8" name="Evidence"/>
    <x:tableColumn id="9" name="Status"/>
    <x:tableColumn id="10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hangeLogTable" displayName="ChangeLogTable" ref="A3:I9" headerRowCount="1" totalsRowCount="0" totalsRowShown="0">
  <x:tableColumns count="9">
    <x:tableColumn id="1" name="ID"/>
    <x:tableColumn id="2" name="Date"/>
    <x:tableColumn id="3" name="Type"/>
    <x:tableColumn id="4" name="Decision / Change"/>
    <x:tableColumn id="5" name="Reason"/>
    <x:tableColumn id="6" name="Impact"/>
    <x:tableColumn id="7" name="Approved By"/>
    <x:tableColumn id="8" name="Status"/>
    <x:tableColumn id="9" name="Version / Referen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utureRoadmapTable" displayName="FutureRoadmapTable" ref="A3:J19" headerRowCount="1" totalsRowCount="0" totalsRowShown="0">
  <x:tableColumns count="10">
    <x:tableColumn id="1" name="ID"/>
    <x:tableColumn id="2" name="Future Feature"/>
    <x:tableColumn id="3" name="Domain"/>
    <x:tableColumn id="4" name="Priority Later"/>
    <x:tableColumn id="5" name="Current Status"/>
    <x:tableColumn id="6" name="Architecture Requirement Now"/>
    <x:tableColumn id="7" name="Likely Integration Pattern"/>
    <x:tableColumn id="8" name="Dependencies"/>
    <x:tableColumn id="9" name="Risk / Complexity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7cc06b3db24b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7b02402bce446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d25a9667a3d424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b3447d9760b49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d7359a71bd2438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0fd2229320c460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6480c4a996444c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21739eeaa9c1415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6510f566f0b447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8bbeb73c6a85447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0.xml" Id="R994d1e46d3eb46ff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12" hidden="0" customWidth="1"/>
    <x:col min="4" max="4" width="34" hidden="0" customWidth="1"/>
    <x:col min="5" max="5" width="18" hidden="0" customWidth="1"/>
    <x:col min="6" max="6" width="46" hidden="0" customWidth="1"/>
  </x:cols>
  <x:sheetData>
    <x:row r="1">
      <x:c r="A1" s="5" t="str">
        <x:v>School OS SaaS - Planning Assumptions</x:v>
      </x:c>
      <x:c r="B1" s="5"/>
      <x:c r="C1" s="5"/>
      <x:c r="D1" s="5"/>
      <x:c r="E1" s="5"/>
      <x:c r="F1" s="5"/>
    </x:row>
    <x:row r="2">
      <x:c r="A2" s="14" t="str">
        <x:v>Parameter</x:v>
      </x:c>
      <x:c r="B2" s="14" t="str">
        <x:v>Baseline</x:v>
      </x:c>
      <x:c r="C2" s="14" t="str">
        <x:v>Editable?</x:v>
      </x:c>
      <x:c r="D2" s="14" t="str">
        <x:v>Planning Impact</x:v>
      </x:c>
      <x:c r="E2" s="14" t="str">
        <x:v>Decision Status</x:v>
      </x:c>
      <x:c r="F2" s="14" t="str">
        <x:v>Notes</x:v>
      </x:c>
    </x:row>
    <x:row r="3">
      <x:c r="A3" s="22" t="str">
        <x:v>Project start</x:v>
      </x:c>
      <x:c r="B3" s="23" t="n">
        <x:v>46286</x:v>
      </x:c>
      <x:c r="C3" s="22" t="str">
        <x:v>Yes</x:v>
      </x:c>
      <x:c r="D3" s="22" t="str">
        <x:v>Drives all baseline dates</x:v>
      </x:c>
      <x:c r="E3" s="22" t="str">
        <x:v>Baseline</x:v>
      </x:c>
      <x:c r="F3" s="22" t="str">
        <x:v>Start after requirements baseline</x:v>
      </x:c>
    </x:row>
    <x:row r="4">
      <x:c r="A4" s="22" t="str">
        <x:v>Target GA</x:v>
      </x:c>
      <x:c r="B4" s="23" t="n">
        <x:v>46860</x:v>
      </x:c>
      <x:c r="C4" s="22" t="str">
        <x:v>Yes</x:v>
      </x:c>
      <x:c r="D4" s="22" t="str">
        <x:v>Full production release target</x:v>
      </x:c>
      <x:c r="E4" s="22" t="str">
        <x:v>Baseline</x:v>
      </x:c>
      <x:c r="F4" s="22" t="str">
        <x:v>Adjust after architecture estimation</x:v>
      </x:c>
    </x:row>
    <x:row r="5">
      <x:c r="A5" s="22" t="str">
        <x:v>Delivery model</x:v>
      </x:c>
      <x:c r="B5" s="22" t="str">
        <x:v>Two-week sprints</x:v>
      </x:c>
      <x:c r="C5" s="22" t="str">
        <x:v>Yes</x:v>
      </x:c>
      <x:c r="D5" s="22" t="str">
        <x:v>Sprint planning and release cadence</x:v>
      </x:c>
      <x:c r="E5" s="22" t="str">
        <x:v>Confirmed</x:v>
      </x:c>
      <x:c r="F5" s="22" t="str">
        <x:v>Use milestone gates between major phases</x:v>
      </x:c>
    </x:row>
    <x:row r="6">
      <x:c r="A6" s="22" t="str">
        <x:v>Primary client</x:v>
      </x:c>
      <x:c r="B6" s="22" t="str">
        <x:v>Flutter Windows (.exe)</x:v>
      </x:c>
      <x:c r="C6" s="22" t="str">
        <x:v>Yes</x:v>
      </x:c>
      <x:c r="D6" s="22" t="str">
        <x:v>Desktop-first delivery</x:v>
      </x:c>
      <x:c r="E6" s="22" t="str">
        <x:v>Confirmed</x:v>
      </x:c>
      <x:c r="F6" s="22" t="str">
        <x:v>Architecture should keep future clients possible</x:v>
      </x:c>
    </x:row>
    <x:row r="7">
      <x:c r="A7" s="22" t="str">
        <x:v>Backend</x:v>
      </x:c>
      <x:c r="B7" s="22" t="str">
        <x:v>Supabase / PostgreSQL</x:v>
      </x:c>
      <x:c r="C7" s="22" t="str">
        <x:v>No</x:v>
      </x:c>
      <x:c r="D7" s="22" t="str">
        <x:v>Database, Auth, Storage, RLS, Edge Functions</x:v>
      </x:c>
      <x:c r="E7" s="22" t="str">
        <x:v>Confirmed</x:v>
      </x:c>
      <x:c r="F7" s="22" t="str">
        <x:v>One Supabase project per customer school</x:v>
      </x:c>
    </x:row>
    <x:row r="8">
      <x:c r="A8" s="22" t="str">
        <x:v>SaaS deployment</x:v>
      </x:c>
      <x:c r="B8" s="22" t="str">
        <x:v>One school = one Supabase project</x:v>
      </x:c>
      <x:c r="C8" s="22" t="str">
        <x:v>No</x:v>
      </x:c>
      <x:c r="D8" s="22" t="str">
        <x:v>Strong tenant isolation</x:v>
      </x:c>
      <x:c r="E8" s="22" t="str">
        <x:v>Confirmed</x:v>
      </x:c>
      <x:c r="F8" s="22" t="str">
        <x:v>Shared SaaS control plane</x:v>
      </x:c>
    </x:row>
    <x:row r="9">
      <x:c r="A9" s="22" t="str">
        <x:v>Team assumption</x:v>
      </x:c>
      <x:c r="B9" s="22" t="str">
        <x:v>1 lead engineer + part-time QA/design/SME</x:v>
      </x:c>
      <x:c r="C9" s="22" t="str">
        <x:v>Yes</x:v>
      </x:c>
      <x:c r="D9" s="22" t="str">
        <x:v>Dates assume lean delivery capacity</x:v>
      </x:c>
      <x:c r="E9" s="22" t="str">
        <x:v>Planning assumption</x:v>
      </x:c>
      <x:c r="F9" s="22" t="str">
        <x:v>Add people to compress schedule</x:v>
      </x:c>
    </x:row>
    <x:row r="10">
      <x:c r="A10" s="22" t="str">
        <x:v>Methodology</x:v>
      </x:c>
      <x:c r="B10" s="22" t="str">
        <x:v>Agile + architecture gates</x:v>
      </x:c>
      <x:c r="C10" s="22" t="str">
        <x:v>Yes</x:v>
      </x:c>
      <x:c r="D10" s="22" t="str">
        <x:v>Iterative delivery with controlled schema design</x:v>
      </x:c>
      <x:c r="E10" s="22" t="str">
        <x:v>Baseline</x:v>
      </x:c>
      <x:c r="F10" s="22" t="str">
        <x:v>Avoid rushing irreversible database decisions</x:v>
      </x:c>
    </x:row>
    <x:row r="11">
      <x:c r="A11" s="22" t="str">
        <x:v>Languages</x:v>
      </x:c>
      <x:c r="B11" s="22" t="str">
        <x:v>English initially</x:v>
      </x:c>
      <x:c r="C11" s="22" t="str">
        <x:v>Yes</x:v>
      </x:c>
      <x:c r="D11" s="22" t="str">
        <x:v>Simplifies V1 UI</x:v>
      </x:c>
      <x:c r="E11" s="22" t="str">
        <x:v>Confirmed</x:v>
      </x:c>
      <x:c r="F11" s="22" t="str">
        <x:v>Keep localization-ready</x:v>
      </x:c>
    </x:row>
    <x:row r="12">
      <x:c r="A12" s="22" t="str">
        <x:v>Deferred</x:v>
      </x:c>
      <x:c r="B12" s="22" t="str">
        <x:v>GPS, biometrics, camera/face recognition, RFID/NFC, inventory, WhatsApp, payment gateway</x:v>
      </x:c>
      <x:c r="C12" s="22" t="str">
        <x:v>Yes</x:v>
      </x:c>
      <x:c r="D12" s="22" t="str">
        <x:v>Keeps core release achievable</x:v>
      </x:c>
      <x:c r="E12" s="22" t="str">
        <x:v>Confirmed</x:v>
      </x:c>
      <x:c r="F12" s="22" t="str">
        <x:v>Architecture should not block later additions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1" hidden="0" customWidth="1"/>
    <x:col min="3" max="3" width="13" hidden="0" customWidth="1"/>
    <x:col min="4" max="4" width="13" hidden="0" customWidth="1"/>
    <x:col min="5" max="5" width="8" hidden="0" customWidth="1"/>
    <x:col min="6" max="6" width="44" hidden="0" customWidth="1"/>
    <x:col min="7" max="7" width="20" hidden="0" customWidth="1"/>
    <x:col min="8" max="8" width="24" hidden="0" customWidth="1"/>
    <x:col min="9" max="9" width="15" hidden="0" customWidth="1"/>
    <x:col min="10" max="10" width="12" hidden="0" customWidth="1"/>
    <x:col min="11" max="11" width="18" hidden="0" customWidth="1"/>
    <x:col min="12" max="12" width="48" hidden="0" customWidth="1"/>
  </x:cols>
  <x:sheetData>
    <x:row r="1">
      <x:c r="A1" s="5" t="str">
        <x:v>School OS SaaS - Product Roadmap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4" t="str">
        <x:v>Phase</x:v>
      </x:c>
      <x:c r="B3" s="14" t="str">
        <x:v>Name</x:v>
      </x:c>
      <x:c r="C3" s="14" t="str">
        <x:v>Start</x:v>
      </x:c>
      <x:c r="D3" s="14" t="str">
        <x:v>End</x:v>
      </x:c>
      <x:c r="E3" s="14" t="str">
        <x:v>Weeks</x:v>
      </x:c>
      <x:c r="F3" s="14" t="str">
        <x:v>Primary Outcome</x:v>
      </x:c>
      <x:c r="G3" s="14" t="str">
        <x:v>Release Gate</x:v>
      </x:c>
      <x:c r="H3" s="14" t="str">
        <x:v>Owner</x:v>
      </x:c>
      <x:c r="I3" s="14" t="str">
        <x:v>Status</x:v>
      </x:c>
      <x:c r="J3" s="14" t="str">
        <x:v>Progress %</x:v>
      </x:c>
      <x:c r="K3" s="14" t="str">
        <x:v>Dependencies</x:v>
      </x:c>
      <x:c r="L3" s="14" t="str">
        <x:v>Notes</x:v>
      </x:c>
    </x:row>
    <x:row r="4">
      <x:c r="A4" s="22" t="str">
        <x:v>P0</x:v>
      </x:c>
      <x:c r="B4" s="22" t="str">
        <x:v>Discovery &amp; Project Setup</x:v>
      </x:c>
      <x:c r="C4" s="23" t="n">
        <x:v>46286</x:v>
      </x:c>
      <x:c r="D4" s="23" t="n">
        <x:v>46311</x:v>
      </x:c>
      <x:c r="E4" s="22" t="n">
        <x:v>4</x:v>
      </x:c>
      <x:c r="F4" s="22" t="str">
        <x:v>Freeze requirements baseline, PM system, repository and standards</x:v>
      </x:c>
      <x:c r="G4" s="22" t="str">
        <x:v>Requirements Baseline</x:v>
      </x:c>
      <x:c r="H4" s="22" t="str">
        <x:v>Product Owner / Lead</x:v>
      </x:c>
      <x:c r="I4" s="22" t="str">
        <x:v>In Progress</x:v>
      </x:c>
      <x:c r="J4" s="28" t="n">
        <x:v>0.75</x:v>
      </x:c>
      <x:c r="K4" s="22" t="str">
        <x:v>-</x:v>
      </x:c>
      <x:c r="L4" s="22" t="str">
        <x:v>Master requirements complete; PM package created</x:v>
      </x:c>
    </x:row>
    <x:row r="5">
      <x:c r="A5" s="22" t="str">
        <x:v>P1</x:v>
      </x:c>
      <x:c r="B5" s="22" t="str">
        <x:v>Architecture &amp; SaaS Foundation</x:v>
      </x:c>
      <x:c r="C5" s="23" t="n">
        <x:v>46314</x:v>
      </x:c>
      <x:c r="D5" s="23" t="n">
        <x:v>46367</x:v>
      </x:c>
      <x:c r="E5" s="22" t="n">
        <x:v>8</x:v>
      </x:c>
      <x:c r="F5" s="22" t="str">
        <x:v>Control plane design, school project template, environments, DB conventions</x:v>
      </x:c>
      <x:c r="G5" s="22" t="str">
        <x:v>Architecture Gate</x:v>
      </x:c>
      <x:c r="H5" s="22" t="str">
        <x:v>Lead Engineer</x:v>
      </x:c>
      <x:c r="I5" s="22" t="str">
        <x:v>Not Started</x:v>
      </x:c>
      <x:c r="J5" s="28" t="n">
        <x:v>0</x:v>
      </x:c>
      <x:c r="K5" s="22" t="str">
        <x:v>P0</x:v>
      </x:c>
      <x:c r="L5" s="22" t="str">
        <x:v>Do not build business modules before security and migration strategy</x:v>
      </x:c>
    </x:row>
    <x:row r="6">
      <x:c r="A6" s="22" t="str">
        <x:v>P2</x:v>
      </x:c>
      <x:c r="B6" s="22" t="str">
        <x:v>Identity, RBAC &amp; Academic Foundation</x:v>
      </x:c>
      <x:c r="C6" s="23" t="n">
        <x:v>46370</x:v>
      </x:c>
      <x:c r="D6" s="23" t="n">
        <x:v>46430</x:v>
      </x:c>
      <x:c r="E6" s="22" t="n">
        <x:v>9</x:v>
      </x:c>
      <x:c r="F6" s="22" t="str">
        <x:v>Auth/account mapping, people, roles, scopes, campuses, academic years, class structure</x:v>
      </x:c>
      <x:c r="G6" s="22" t="str">
        <x:v>Foundation Alpha</x:v>
      </x:c>
      <x:c r="H6" s="22" t="str">
        <x:v>Lead Engineer</x:v>
      </x:c>
      <x:c r="I6" s="22" t="str">
        <x:v>Not Started</x:v>
      </x:c>
      <x:c r="J6" s="28" t="n">
        <x:v>0</x:v>
      </x:c>
      <x:c r="K6" s="22" t="str">
        <x:v>P1</x:v>
      </x:c>
      <x:c r="L6" s="22" t="str">
        <x:v>Foundation used by every later module</x:v>
      </x:c>
    </x:row>
    <x:row r="7">
      <x:c r="A7" s="22" t="str">
        <x:v>P3</x:v>
      </x:c>
      <x:c r="B7" s="22" t="str">
        <x:v>Students, Families &amp; Admissions</x:v>
      </x:c>
      <x:c r="C7" s="23" t="n">
        <x:v>46433</x:v>
      </x:c>
      <x:c r="D7" s="23" t="n">
        <x:v>46486</x:v>
      </x:c>
      <x:c r="E7" s="22" t="n">
        <x:v>8</x:v>
      </x:c>
      <x:c r="F7" s="22" t="str">
        <x:v>Student lifecycle, family accounts, admission workflow, enrollment history, promotion</x:v>
      </x:c>
      <x:c r="G7" s="22" t="str">
        <x:v>Student Core Alpha</x:v>
      </x:c>
      <x:c r="H7" s="22" t="str">
        <x:v>Lead Engineer</x:v>
      </x:c>
      <x:c r="I7" s="22" t="str">
        <x:v>Not Started</x:v>
      </x:c>
      <x:c r="J7" s="28" t="n">
        <x:v>0</x:v>
      </x:c>
      <x:c r="K7" s="22" t="str">
        <x:v>P2</x:v>
      </x:c>
      <x:c r="L7" s="22" t="str">
        <x:v>Historical data model must be stable</x:v>
      </x:c>
    </x:row>
    <x:row r="8">
      <x:c r="A8" s="22" t="str">
        <x:v>P4</x:v>
      </x:c>
      <x:c r="B8" s="22" t="str">
        <x:v>Curriculum, Teachers &amp; Timetable</x:v>
      </x:c>
      <x:c r="C8" s="23" t="n">
        <x:v>46468</x:v>
      </x:c>
      <x:c r="D8" s="23" t="n">
        <x:v>46521</x:v>
      </x:c>
      <x:c r="E8" s="22" t="n">
        <x:v>8</x:v>
      </x:c>
      <x:c r="F8" s="22" t="str">
        <x:v>Subjects, curriculum, teacher assignment and timetable generation</x:v>
      </x:c>
      <x:c r="G8" s="22" t="str">
        <x:v>Academic Alpha</x:v>
      </x:c>
      <x:c r="H8" s="22" t="str">
        <x:v>Lead Engineer</x:v>
      </x:c>
      <x:c r="I8" s="22" t="str">
        <x:v>Not Started</x:v>
      </x:c>
      <x:c r="J8" s="28" t="n">
        <x:v>0</x:v>
      </x:c>
      <x:c r="K8" s="22" t="str">
        <x:v>P2,P3</x:v>
      </x:c>
      <x:c r="L8" s="22" t="str">
        <x:v>Overlaps student work after stable entities exist</x:v>
      </x:c>
    </x:row>
    <x:row r="9">
      <x:c r="A9" s="22" t="str">
        <x:v>P5</x:v>
      </x:c>
      <x:c r="B9" s="22" t="str">
        <x:v>Attendance, Homework &amp; Notifications Core</x:v>
      </x:c>
      <x:c r="C9" s="23" t="n">
        <x:v>46503</x:v>
      </x:c>
      <x:c r="D9" s="23" t="n">
        <x:v>46563</x:v>
      </x:c>
      <x:c r="E9" s="22" t="n">
        <x:v>9</x:v>
      </x:c>
      <x:c r="F9" s="22" t="str">
        <x:v>Morning/break attendance, QR/manual flow, corrections, assignments and base notifications</x:v>
      </x:c>
      <x:c r="G9" s="22" t="str">
        <x:v>Operations Alpha</x:v>
      </x:c>
      <x:c r="H9" s="22" t="str">
        <x:v>Lead Engineer</x:v>
      </x:c>
      <x:c r="I9" s="22" t="str">
        <x:v>Not Started</x:v>
      </x:c>
      <x:c r="J9" s="28" t="n">
        <x:v>0</x:v>
      </x:c>
      <x:c r="K9" s="22" t="str">
        <x:v>P3,P4</x:v>
      </x:c>
      <x:c r="L9" s="22" t="str">
        <x:v>Includes offline-ready attendance contracts</x:v>
      </x:c>
    </x:row>
    <x:row r="10">
      <x:c r="A10" s="22" t="str">
        <x:v>P6</x:v>
      </x:c>
      <x:c r="B10" s="22" t="str">
        <x:v>Exams, Marks &amp; Results</x:v>
      </x:c>
      <x:c r="C10" s="23" t="n">
        <x:v>46552</x:v>
      </x:c>
      <x:c r="D10" s="23" t="n">
        <x:v>46619</x:v>
      </x:c>
      <x:c r="E10" s="22" t="n">
        <x:v>10</x:v>
      </x:c>
      <x:c r="F10" s="22" t="str">
        <x:v>Assessment engine, grading, result approvals, locking and report cards</x:v>
      </x:c>
      <x:c r="G10" s="22" t="str">
        <x:v>Academic Pilot</x:v>
      </x:c>
      <x:c r="H10" s="22" t="str">
        <x:v>Lead Engineer</x:v>
      </x:c>
      <x:c r="I10" s="22" t="str">
        <x:v>Not Started</x:v>
      </x:c>
      <x:c r="J10" s="28" t="n">
        <x:v>0</x:v>
      </x:c>
      <x:c r="K10" s="22" t="str">
        <x:v>P4,P5</x:v>
      </x:c>
      <x:c r="L10" s="22" t="str">
        <x:v>Exam Controller publication gate</x:v>
      </x:c>
    </x:row>
    <x:row r="11">
      <x:c r="A11" s="22" t="str">
        <x:v>P7</x:v>
      </x:c>
      <x:c r="B11" s="22" t="str">
        <x:v>Fees, Payments &amp; Finance</x:v>
      </x:c>
      <x:c r="C11" s="23" t="n">
        <x:v>46608</x:v>
      </x:c>
      <x:c r="D11" s="23" t="n">
        <x:v>46682</x:v>
      </x:c>
      <x:c r="E11" s="22" t="n">
        <x:v>11</x:v>
      </x:c>
      <x:c r="F11" s="22" t="str">
        <x:v>Fee structures, discounts, invoices, payment evidence, receipts, reversals, overdue</x:v>
      </x:c>
      <x:c r="G11" s="22" t="str">
        <x:v>School Beta</x:v>
      </x:c>
      <x:c r="H11" s="22" t="str">
        <x:v>Lead Engineer</x:v>
      </x:c>
      <x:c r="I11" s="22" t="str">
        <x:v>Not Started</x:v>
      </x:c>
      <x:c r="J11" s="28" t="n">
        <x:v>0</x:v>
      </x:c>
      <x:c r="K11" s="22" t="str">
        <x:v>P3,P6</x:v>
      </x:c>
      <x:c r="L11" s="22" t="str">
        <x:v>Financial integrity and approvals mandatory</x:v>
      </x:c>
    </x:row>
    <x:row r="12">
      <x:c r="A12" s="22" t="str">
        <x:v>P8</x:v>
      </x:c>
      <x:c r="B12" s="22" t="str">
        <x:v>HR, Payroll &amp; Leave</x:v>
      </x:c>
      <x:c r="C12" s="23" t="n">
        <x:v>46664</x:v>
      </x:c>
      <x:c r="D12" s="23" t="n">
        <x:v>46717</x:v>
      </x:c>
      <x:c r="E12" s="22" t="n">
        <x:v>8</x:v>
      </x:c>
      <x:c r="F12" s="22" t="str">
        <x:v>Employees, monthly payroll, bonuses, deductions, salary approvals, configurable leave</x:v>
      </x:c>
      <x:c r="G12" s="22" t="str">
        <x:v>Admin Beta</x:v>
      </x:c>
      <x:c r="H12" s="22" t="str">
        <x:v>Lead Engineer</x:v>
      </x:c>
      <x:c r="I12" s="22" t="str">
        <x:v>Not Started</x:v>
      </x:c>
      <x:c r="J12" s="28" t="n">
        <x:v>0</x:v>
      </x:c>
      <x:c r="K12" s="22" t="str">
        <x:v>P2,P7</x:v>
      </x:c>
      <x:c r="L12" s="22" t="str">
        <x:v>Uses shared approval engine</x:v>
      </x:c>
    </x:row>
    <x:row r="13">
      <x:c r="A13" s="22" t="str">
        <x:v>P9</x:v>
      </x:c>
      <x:c r="B13" s="22" t="str">
        <x:v>Library, Transport, Hostel &amp; Medical</x:v>
      </x:c>
      <x:c r="C13" s="23" t="n">
        <x:v>46699</x:v>
      </x:c>
      <x:c r="D13" s="23" t="n">
        <x:v>46766</x:v>
      </x:c>
      <x:c r="E13" s="22" t="n">
        <x:v>10</x:v>
      </x:c>
      <x:c r="F13" s="22" t="str">
        <x:v>Optional operational modules with permission isolation</x:v>
      </x:c>
      <x:c r="G13" s="22" t="str">
        <x:v>Feature Complete</x:v>
      </x:c>
      <x:c r="H13" s="22" t="str">
        <x:v>Lead Engineer</x:v>
      </x:c>
      <x:c r="I13" s="22" t="str">
        <x:v>Not Started</x:v>
      </x:c>
      <x:c r="J13" s="28" t="n">
        <x:v>0</x:v>
      </x:c>
      <x:c r="K13" s="22" t="str">
        <x:v>P3,P8</x:v>
      </x:c>
      <x:c r="L13" s="22" t="str">
        <x:v>GPS/inventory remain deferred</x:v>
      </x:c>
    </x:row>
    <x:row r="14">
      <x:c r="A14" s="22" t="str">
        <x:v>P10</x:v>
      </x:c>
      <x:c r="B14" s="22" t="str">
        <x:v>Offline Sync, Backup &amp; Hardening</x:v>
      </x:c>
      <x:c r="C14" s="23" t="n">
        <x:v>46734</x:v>
      </x:c>
      <x:c r="D14" s="23" t="n">
        <x:v>46794</x:v>
      </x:c>
      <x:c r="E14" s="22" t="n">
        <x:v>9</x:v>
      </x:c>
      <x:c r="F14" s="22" t="str">
        <x:v>Encrypted local storage, conflict detection, backup/restore, resilience</x:v>
      </x:c>
      <x:c r="G14" s="22" t="str">
        <x:v>Resilience Gate</x:v>
      </x:c>
      <x:c r="H14" s="22" t="str">
        <x:v>Lead Engineer / QA</x:v>
      </x:c>
      <x:c r="I14" s="22" t="str">
        <x:v>Not Started</x:v>
      </x:c>
      <x:c r="J14" s="28" t="n">
        <x:v>0</x:v>
      </x:c>
      <x:c r="K14" s="22" t="str">
        <x:v>P5,P7,P9</x:v>
      </x:c>
      <x:c r="L14" s="22" t="str">
        <x:v>No silent overwrite of critical records</x:v>
      </x:c>
    </x:row>
    <x:row r="15">
      <x:c r="A15" s="22" t="str">
        <x:v>P11</x:v>
      </x:c>
      <x:c r="B15" s="22" t="str">
        <x:v>Analytics, Automation &amp; AI</x:v>
      </x:c>
      <x:c r="C15" s="23" t="n">
        <x:v>46769</x:v>
      </x:c>
      <x:c r="D15" s="23" t="n">
        <x:v>46829</x:v>
      </x:c>
      <x:c r="E15" s="22" t="n">
        <x:v>9</x:v>
      </x:c>
      <x:c r="F15" s="22" t="str">
        <x:v>Dashboards, reports, event automation, permission-aware AI, conversation history</x:v>
      </x:c>
      <x:c r="G15" s="22" t="str">
        <x:v>Intelligence RC</x:v>
      </x:c>
      <x:c r="H15" s="22" t="str">
        <x:v>Lead Engineer</x:v>
      </x:c>
      <x:c r="I15" s="22" t="str">
        <x:v>Not Started</x:v>
      </x:c>
      <x:c r="J15" s="28" t="n">
        <x:v>0</x:v>
      </x:c>
      <x:c r="K15" s="22" t="str">
        <x:v>P6,P7,P10</x:v>
      </x:c>
      <x:c r="L15" s="22" t="str">
        <x:v>AI must never bypass authorization</x:v>
      </x:c>
    </x:row>
    <x:row r="16">
      <x:c r="A16" s="22" t="str">
        <x:v>P12</x:v>
      </x:c>
      <x:c r="B16" s="22" t="str">
        <x:v>UAT, Security, Performance &amp; Launch</x:v>
      </x:c>
      <x:c r="C16" s="23" t="n">
        <x:v>46813</x:v>
      </x:c>
      <x:c r="D16" s="23" t="n">
        <x:v>46857</x:v>
      </x:c>
      <x:c r="E16" s="22" t="n">
        <x:v>7</x:v>
      </x:c>
      <x:c r="F16" s="22" t="str">
        <x:v>End-to-end validation, migration test, UAT, production runbook and release</x:v>
      </x:c>
      <x:c r="G16" s="22" t="str">
        <x:v>GA Readiness</x:v>
      </x:c>
      <x:c r="H16" s="22" t="str">
        <x:v>Lead Engineer / QA</x:v>
      </x:c>
      <x:c r="I16" s="22" t="str">
        <x:v>Not Started</x:v>
      </x:c>
      <x:c r="J16" s="28" t="n">
        <x:v>0</x:v>
      </x:c>
      <x:c r="K16" s="22" t="str">
        <x:v>P1-P11</x:v>
      </x:c>
      <x:c r="L16" s="22" t="str">
        <x:v>Production launch after gate approval</x:v>
      </x:c>
    </x:row>
  </x:sheetData>
  <x:mergeCells>
    <x:mergeCell ref="A1:L1"/>
  </x:mergeCells>
  <x:conditionalFormatting sqref="I4:I16">
    <x:cfRule type="expression" dxfId="0" priority="1">
      <x:formula>I4="Done"</x:formula>
    </x:cfRule>
    <x:cfRule type="expression" dxfId="1" priority="2">
      <x:formula>I4="At Risk"</x:formula>
    </x:cfRule>
    <x:cfRule type="expression" dxfId="2" priority="3">
      <x:formula>I4="Blocked"</x:formula>
    </x:cfRule>
  </x:conditionalFormatting>
  <x:dataValidations count="1">
    <x:dataValidation type="list" sqref="I4:I16">
      <x:formula1>"Not Started,In Progress,Blocked,At Risk,Done"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7cc06b3db24b4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8" hidden="0" customWidth="1"/>
    <x:col min="3" max="3" width="17" hidden="0" customWidth="1"/>
    <x:col min="4" max="4" width="47" hidden="0" customWidth="1"/>
    <x:col min="5" max="5" width="12" hidden="0" customWidth="1"/>
    <x:col min="6" max="6" width="12" hidden="0" customWidth="1"/>
    <x:col min="7" max="7" width="8" hidden="0" customWidth="1"/>
    <x:col min="8" max="8" width="24" hidden="0" customWidth="1"/>
    <x:col min="9" max="9" width="12" hidden="0" customWidth="1"/>
    <x:col min="10" max="10" width="15" hidden="0" customWidth="1"/>
    <x:col min="11" max="11" width="11" hidden="0" customWidth="1"/>
    <x:col min="12" max="12" width="18" hidden="0" customWidth="1"/>
    <x:col min="13" max="13" width="18" hidden="0" customWidth="1"/>
    <x:col min="14" max="14" width="42" hidden="0" customWidth="1"/>
    <x:col min="15" max="15" width="12" hidden="0" customWidth="1"/>
    <x:col min="16" max="16" width="38" hidden="0" customWidth="1"/>
    <x:col min="17" max="17" width="12" hidden="0" customWidth="1"/>
  </x:cols>
  <x:sheetData>
    <x:row r="1">
      <x:c r="A1" s="5" t="str">
        <x:v>Detailed Work Breakdown Structure / Master Task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3">
      <x:c r="A3" s="14" t="str">
        <x:v>ID</x:v>
      </x:c>
      <x:c r="B3" s="14" t="str">
        <x:v>Phase</x:v>
      </x:c>
      <x:c r="C3" s="14" t="str">
        <x:v>Workstream</x:v>
      </x:c>
      <x:c r="D3" s="14" t="str">
        <x:v>Task / Deliverable</x:v>
      </x:c>
      <x:c r="E3" s="14" t="str">
        <x:v>Start</x:v>
      </x:c>
      <x:c r="F3" s="14" t="str">
        <x:v>End</x:v>
      </x:c>
      <x:c r="G3" s="14" t="str">
        <x:v>Days</x:v>
      </x:c>
      <x:c r="H3" s="14" t="str">
        <x:v>Owner</x:v>
      </x:c>
      <x:c r="I3" s="14" t="str">
        <x:v>Priority</x:v>
      </x:c>
      <x:c r="J3" s="14" t="str">
        <x:v>Status</x:v>
      </x:c>
      <x:c r="K3" s="14" t="str">
        <x:v>Progress %</x:v>
      </x:c>
      <x:c r="L3" s="14" t="str">
        <x:v>Dependency</x:v>
      </x:c>
      <x:c r="M3" s="14" t="str">
        <x:v>Release</x:v>
      </x:c>
      <x:c r="N3" s="14" t="str">
        <x:v>Acceptance / Exit Criteria</x:v>
      </x:c>
      <x:c r="O3" s="14" t="str">
        <x:v>Risk Flag</x:v>
      </x:c>
      <x:c r="P3" s="14" t="str">
        <x:v>Notes</x:v>
      </x:c>
      <x:c r="Q3" s="14" t="str">
        <x:v>Last Update</x:v>
      </x:c>
    </x:row>
    <x:row r="4">
      <x:c r="A4" s="22" t="str">
        <x:v>T001</x:v>
      </x:c>
      <x:c r="B4" s="22" t="str">
        <x:v>P0</x:v>
      </x:c>
      <x:c r="C4" s="22" t="str">
        <x:v>Product</x:v>
      </x:c>
      <x:c r="D4" s="22" t="str">
        <x:v>Requirements discovery and question log</x:v>
      </x:c>
      <x:c r="E4" s="23" t="n">
        <x:v>46286</x:v>
      </x:c>
      <x:c r="F4" s="23" t="n">
        <x:v>46290</x:v>
      </x:c>
      <x:c r="G4" s="22" t="n">
        <x:v>5</x:v>
      </x:c>
      <x:c r="H4" s="22" t="str">
        <x:v>Product Owner / Lead</x:v>
      </x:c>
      <x:c r="I4" s="22" t="str">
        <x:v>Critical</x:v>
      </x:c>
      <x:c r="J4" s="22" t="str">
        <x:v>Done</x:v>
      </x:c>
      <x:c r="K4" s="28" t="n">
        <x:v>1</x:v>
      </x:c>
      <x:c r="L4" s="22" t="str"/>
      <x:c r="M4" s="22" t="str">
        <x:v>Requirements Baseline</x:v>
      </x:c>
      <x:c r="N4" s="22" t="str">
        <x:v>All major business questions recorded</x:v>
      </x:c>
      <x:c r="O4" s="22" t="str"/>
      <x:c r="P4" s="22" t="str"/>
      <x:c r="Q4" s="23" t="n">
        <x:v>46284</x:v>
      </x:c>
    </x:row>
    <x:row r="5">
      <x:c r="A5" s="22" t="str">
        <x:v>T002</x:v>
      </x:c>
      <x:c r="B5" s="22" t="str">
        <x:v>P0</x:v>
      </x:c>
      <x:c r="C5" s="22" t="str">
        <x:v>Product</x:v>
      </x:c>
      <x:c r="D5" s="22" t="str">
        <x:v>Master requirements &amp; architecture specification v0.1</x:v>
      </x:c>
      <x:c r="E5" s="23" t="n">
        <x:v>46293</x:v>
      </x:c>
      <x:c r="F5" s="23" t="n">
        <x:v>46297</x:v>
      </x:c>
      <x:c r="G5" s="22" t="n">
        <x:v>5</x:v>
      </x:c>
      <x:c r="H5" s="22" t="str">
        <x:v>Product Owner / Lead</x:v>
      </x:c>
      <x:c r="I5" s="22" t="str">
        <x:v>Critical</x:v>
      </x:c>
      <x:c r="J5" s="22" t="str">
        <x:v>Done</x:v>
      </x:c>
      <x:c r="K5" s="28" t="n">
        <x:v>1</x:v>
      </x:c>
      <x:c r="L5" s="22" t="str">
        <x:v>T001</x:v>
      </x:c>
      <x:c r="M5" s="22" t="str">
        <x:v>Requirements Baseline</x:v>
      </x:c>
      <x:c r="N5" s="22" t="str">
        <x:v>Versioned master specification approved</x:v>
      </x:c>
      <x:c r="O5" s="22" t="str"/>
      <x:c r="P5" s="22" t="str"/>
      <x:c r="Q5" s="23" t="n">
        <x:v>46284</x:v>
      </x:c>
    </x:row>
    <x:row r="6">
      <x:c r="A6" s="22" t="str">
        <x:v>T003</x:v>
      </x:c>
      <x:c r="B6" s="22" t="str">
        <x:v>P0</x:v>
      </x:c>
      <x:c r="C6" s="22" t="str">
        <x:v>PM</x:v>
      </x:c>
      <x:c r="D6" s="22" t="str">
        <x:v>Project timeline, WBS, risks, RACI and governance baseline</x:v>
      </x:c>
      <x:c r="E6" s="23" t="n">
        <x:v>46300</x:v>
      </x:c>
      <x:c r="F6" s="23" t="n">
        <x:v>46304</x:v>
      </x:c>
      <x:c r="G6" s="22" t="n">
        <x:v>5</x:v>
      </x:c>
      <x:c r="H6" s="22" t="str">
        <x:v>Product Owner / Lead</x:v>
      </x:c>
      <x:c r="I6" s="22" t="str">
        <x:v>High</x:v>
      </x:c>
      <x:c r="J6" s="22" t="str">
        <x:v>Done</x:v>
      </x:c>
      <x:c r="K6" s="28" t="n">
        <x:v>1</x:v>
      </x:c>
      <x:c r="L6" s="22" t="str">
        <x:v>T002</x:v>
      </x:c>
      <x:c r="M6" s="22" t="str">
        <x:v>Requirements Baseline</x:v>
      </x:c>
      <x:c r="N6" s="22" t="str">
        <x:v>PM workbook and management plan generated</x:v>
      </x:c>
      <x:c r="O6" s="22" t="str"/>
      <x:c r="P6" s="22" t="str"/>
      <x:c r="Q6" s="23" t="n">
        <x:v>46284</x:v>
      </x:c>
    </x:row>
    <x:row r="7">
      <x:c r="A7" s="22" t="str">
        <x:v>T004</x:v>
      </x:c>
      <x:c r="B7" s="22" t="str">
        <x:v>P0</x:v>
      </x:c>
      <x:c r="C7" s="22" t="str">
        <x:v>Engineering</x:v>
      </x:c>
      <x:c r="D7" s="22" t="str">
        <x:v>Repository layout, branching, coding standards and naming conventions</x:v>
      </x:c>
      <x:c r="E7" s="23" t="n">
        <x:v>46307</x:v>
      </x:c>
      <x:c r="F7" s="23" t="n">
        <x:v>46311</x:v>
      </x:c>
      <x:c r="G7" s="22" t="n">
        <x:v>5</x:v>
      </x:c>
      <x:c r="H7" s="22" t="str">
        <x:v>Lead Engineer</x:v>
      </x:c>
      <x:c r="I7" s="22" t="str">
        <x:v>High</x:v>
      </x:c>
      <x:c r="J7" s="22" t="str">
        <x:v>Not Started</x:v>
      </x:c>
      <x:c r="K7" s="28" t="n">
        <x:v>0</x:v>
      </x:c>
      <x:c r="L7" s="22" t="str">
        <x:v>T003</x:v>
      </x:c>
      <x:c r="M7" s="22" t="str">
        <x:v>Architecture Gate</x:v>
      </x:c>
      <x:c r="N7" s="22" t="str">
        <x:v>Repository conventions documented</x:v>
      </x:c>
      <x:c r="O7" s="22" t="str"/>
      <x:c r="P7" s="22" t="str"/>
      <x:c r="Q7" s="23" t="n">
        <x:v>46284</x:v>
      </x:c>
    </x:row>
    <x:row r="8">
      <x:c r="A8" s="22" t="str">
        <x:v>T005</x:v>
      </x:c>
      <x:c r="B8" s="22" t="str">
        <x:v>P1</x:v>
      </x:c>
      <x:c r="C8" s="22" t="str">
        <x:v>Architecture</x:v>
      </x:c>
      <x:c r="D8" s="22" t="str">
        <x:v>Define SaaS control-plane responsibilities and school project boundaries</x:v>
      </x:c>
      <x:c r="E8" s="23" t="n">
        <x:v>46314</x:v>
      </x:c>
      <x:c r="F8" s="23" t="n">
        <x:v>46318</x:v>
      </x:c>
      <x:c r="G8" s="22" t="n">
        <x:v>5</x:v>
      </x:c>
      <x:c r="H8" s="22" t="str">
        <x:v>Lead Engineer</x:v>
      </x:c>
      <x:c r="I8" s="22" t="str">
        <x:v>Critical</x:v>
      </x:c>
      <x:c r="J8" s="22" t="str">
        <x:v>Not Started</x:v>
      </x:c>
      <x:c r="K8" s="28" t="n">
        <x:v>0</x:v>
      </x:c>
      <x:c r="L8" s="22" t="str">
        <x:v>T004</x:v>
      </x:c>
      <x:c r="M8" s="22" t="str">
        <x:v>Architecture Gate</x:v>
      </x:c>
      <x:c r="N8" s="22" t="str">
        <x:v>Architecture decision recorded and testable</x:v>
      </x:c>
      <x:c r="O8" s="22" t="str"/>
      <x:c r="P8" s="22" t="str"/>
      <x:c r="Q8" s="23" t="n">
        <x:v>46284</x:v>
      </x:c>
    </x:row>
    <x:row r="9">
      <x:c r="A9" s="22" t="str">
        <x:v>T006</x:v>
      </x:c>
      <x:c r="B9" s="22" t="str">
        <x:v>P1</x:v>
      </x:c>
      <x:c r="C9" s="22" t="str">
        <x:v>Architecture</x:v>
      </x:c>
      <x:c r="D9" s="22" t="str">
        <x:v>Define environments: local/dev/staging/production</x:v>
      </x:c>
      <x:c r="E9" s="23" t="n">
        <x:v>46314</x:v>
      </x:c>
      <x:c r="F9" s="23" t="n">
        <x:v>46325</x:v>
      </x:c>
      <x:c r="G9" s="22" t="n">
        <x:v>12</x:v>
      </x:c>
      <x:c r="H9" s="22" t="str">
        <x:v>Lead Engineer</x:v>
      </x:c>
      <x:c r="I9" s="22" t="str">
        <x:v>High</x:v>
      </x:c>
      <x:c r="J9" s="22" t="str">
        <x:v>Not Started</x:v>
      </x:c>
      <x:c r="K9" s="28" t="n">
        <x:v>0</x:v>
      </x:c>
      <x:c r="L9" s="22" t="str">
        <x:v>T004</x:v>
      </x:c>
      <x:c r="M9" s="22" t="str">
        <x:v>Architecture Gate</x:v>
      </x:c>
      <x:c r="N9" s="22" t="str">
        <x:v>Environment strategy documented</x:v>
      </x:c>
      <x:c r="O9" s="22" t="str"/>
      <x:c r="P9" s="22" t="str"/>
      <x:c r="Q9" s="23" t="n">
        <x:v>46284</x:v>
      </x:c>
    </x:row>
    <x:row r="10">
      <x:c r="A10" s="22" t="str">
        <x:v>T007</x:v>
      </x:c>
      <x:c r="B10" s="22" t="str">
        <x:v>P1</x:v>
      </x:c>
      <x:c r="C10" s="22" t="str">
        <x:v>Database</x:v>
      </x:c>
      <x:c r="D10" s="22" t="str">
        <x:v>Define PostgreSQL naming, IDs, timestamps, soft-delete and history conventions</x:v>
      </x:c>
      <x:c r="E10" s="23" t="n">
        <x:v>46321</x:v>
      </x:c>
      <x:c r="F10" s="23" t="n">
        <x:v>46332</x:v>
      </x:c>
      <x:c r="G10" s="22" t="n">
        <x:v>12</x:v>
      </x:c>
      <x:c r="H10" s="22" t="str">
        <x:v>Lead Engineer</x:v>
      </x:c>
      <x:c r="I10" s="22" t="str">
        <x:v>Critical</x:v>
      </x:c>
      <x:c r="J10" s="22" t="str">
        <x:v>Not Started</x:v>
      </x:c>
      <x:c r="K10" s="28" t="n">
        <x:v>0</x:v>
      </x:c>
      <x:c r="L10" s="22" t="str">
        <x:v>T005</x:v>
      </x:c>
      <x:c r="M10" s="22" t="str">
        <x:v>Architecture Gate</x:v>
      </x:c>
      <x:c r="N10" s="22" t="str">
        <x:v>Database conventions approved</x:v>
      </x:c>
      <x:c r="O10" s="22" t="str"/>
      <x:c r="P10" s="22" t="str"/>
      <x:c r="Q10" s="23" t="n">
        <x:v>46284</x:v>
      </x:c>
    </x:row>
    <x:row r="11">
      <x:c r="A11" s="22" t="str">
        <x:v>T008</x:v>
      </x:c>
      <x:c r="B11" s="22" t="str">
        <x:v>P1</x:v>
      </x:c>
      <x:c r="C11" s="22" t="str">
        <x:v>Database</x:v>
      </x:c>
      <x:c r="D11" s="22" t="str">
        <x:v>Define migration strategy and schema-version tracking</x:v>
      </x:c>
      <x:c r="E11" s="23" t="n">
        <x:v>46328</x:v>
      </x:c>
      <x:c r="F11" s="23" t="n">
        <x:v>46339</x:v>
      </x:c>
      <x:c r="G11" s="22" t="n">
        <x:v>12</x:v>
      </x:c>
      <x:c r="H11" s="22" t="str">
        <x:v>Lead Engineer</x:v>
      </x:c>
      <x:c r="I11" s="22" t="str">
        <x:v>Critical</x:v>
      </x:c>
      <x:c r="J11" s="22" t="str">
        <x:v>Not Started</x:v>
      </x:c>
      <x:c r="K11" s="28" t="n">
        <x:v>0</x:v>
      </x:c>
      <x:c r="L11" s="22" t="str">
        <x:v>T007</x:v>
      </x:c>
      <x:c r="M11" s="22" t="str">
        <x:v>Architecture Gate</x:v>
      </x:c>
      <x:c r="N11" s="22" t="str">
        <x:v>Migrations repeatable</x:v>
      </x:c>
      <x:c r="O11" s="22" t="str"/>
      <x:c r="P11" s="22" t="str"/>
      <x:c r="Q11" s="23" t="n">
        <x:v>46284</x:v>
      </x:c>
    </x:row>
    <x:row r="12">
      <x:c r="A12" s="22" t="str">
        <x:v>T009</x:v>
      </x:c>
      <x:c r="B12" s="22" t="str">
        <x:v>P1</x:v>
      </x:c>
      <x:c r="C12" s="22" t="str">
        <x:v>Security</x:v>
      </x:c>
      <x:c r="D12" s="22" t="str">
        <x:v>Define RLS architecture and server-side secret boundaries</x:v>
      </x:c>
      <x:c r="E12" s="23" t="n">
        <x:v>46335</x:v>
      </x:c>
      <x:c r="F12" s="23" t="n">
        <x:v>46346</x:v>
      </x:c>
      <x:c r="G12" s="22" t="n">
        <x:v>12</x:v>
      </x:c>
      <x:c r="H12" s="22" t="str">
        <x:v>Lead Engineer</x:v>
      </x:c>
      <x:c r="I12" s="22" t="str">
        <x:v>Critical</x:v>
      </x:c>
      <x:c r="J12" s="22" t="str">
        <x:v>Not Started</x:v>
      </x:c>
      <x:c r="K12" s="28" t="n">
        <x:v>0</x:v>
      </x:c>
      <x:c r="L12" s="22" t="str">
        <x:v>T007</x:v>
      </x:c>
      <x:c r="M12" s="22" t="str">
        <x:v>Architecture Gate</x:v>
      </x:c>
      <x:c r="N12" s="22" t="str">
        <x:v>Default-deny security model approved</x:v>
      </x:c>
      <x:c r="O12" s="22" t="str"/>
      <x:c r="P12" s="22" t="str"/>
      <x:c r="Q12" s="23" t="n">
        <x:v>46284</x:v>
      </x:c>
    </x:row>
    <x:row r="13">
      <x:c r="A13" s="22" t="str">
        <x:v>T010</x:v>
      </x:c>
      <x:c r="B13" s="22" t="str">
        <x:v>P1</x:v>
      </x:c>
      <x:c r="C13" s="22" t="str">
        <x:v>Platform</x:v>
      </x:c>
      <x:c r="D13" s="22" t="str">
        <x:v>Define Storage buckets and private document access strategy</x:v>
      </x:c>
      <x:c r="E13" s="23" t="n">
        <x:v>46342</x:v>
      </x:c>
      <x:c r="F13" s="23" t="n">
        <x:v>46353</x:v>
      </x:c>
      <x:c r="G13" s="22" t="n">
        <x:v>12</x:v>
      </x:c>
      <x:c r="H13" s="22" t="str">
        <x:v>Lead Engineer</x:v>
      </x:c>
      <x:c r="I13" s="22" t="str">
        <x:v>High</x:v>
      </x:c>
      <x:c r="J13" s="22" t="str">
        <x:v>Not Started</x:v>
      </x:c>
      <x:c r="K13" s="28" t="n">
        <x:v>0</x:v>
      </x:c>
      <x:c r="L13" s="22" t="str">
        <x:v>T009</x:v>
      </x:c>
      <x:c r="M13" s="22" t="str">
        <x:v>Architecture Gate</x:v>
      </x:c>
      <x:c r="N13" s="22" t="str">
        <x:v>Storage access patterns approved</x:v>
      </x:c>
      <x:c r="O13" s="22" t="str"/>
      <x:c r="P13" s="22" t="str"/>
      <x:c r="Q13" s="23" t="n">
        <x:v>46284</x:v>
      </x:c>
    </x:row>
    <x:row r="14">
      <x:c r="A14" s="22" t="str">
        <x:v>T011</x:v>
      </x:c>
      <x:c r="B14" s="22" t="str">
        <x:v>P1</x:v>
      </x:c>
      <x:c r="C14" s="22" t="str">
        <x:v>Platform</x:v>
      </x:c>
      <x:c r="D14" s="22" t="str">
        <x:v>Define Edge Function/service boundaries</x:v>
      </x:c>
      <x:c r="E14" s="23" t="n">
        <x:v>46349</x:v>
      </x:c>
      <x:c r="F14" s="23" t="n">
        <x:v>46360</x:v>
      </x:c>
      <x:c r="G14" s="22" t="n">
        <x:v>12</x:v>
      </x:c>
      <x:c r="H14" s="22" t="str">
        <x:v>Lead Engineer</x:v>
      </x:c>
      <x:c r="I14" s="22" t="str">
        <x:v>High</x:v>
      </x:c>
      <x:c r="J14" s="22" t="str">
        <x:v>Not Started</x:v>
      </x:c>
      <x:c r="K14" s="28" t="n">
        <x:v>0</x:v>
      </x:c>
      <x:c r="L14" s="22" t="str">
        <x:v>T009</x:v>
      </x:c>
      <x:c r="M14" s="22" t="str">
        <x:v>Architecture Gate</x:v>
      </x:c>
      <x:c r="N14" s="22" t="str">
        <x:v>Server responsibilities documented</x:v>
      </x:c>
      <x:c r="O14" s="22" t="str"/>
      <x:c r="P14" s="22" t="str"/>
      <x:c r="Q14" s="23" t="n">
        <x:v>46284</x:v>
      </x:c>
    </x:row>
    <x:row r="15">
      <x:c r="A15" s="22" t="str">
        <x:v>T012</x:v>
      </x:c>
      <x:c r="B15" s="22" t="str">
        <x:v>P1</x:v>
      </x:c>
      <x:c r="C15" s="22" t="str">
        <x:v>Deployment</x:v>
      </x:c>
      <x:c r="D15" s="22" t="str">
        <x:v>Create reusable school-project bootstrap/migration sequence</x:v>
      </x:c>
      <x:c r="E15" s="23" t="n">
        <x:v>46356</x:v>
      </x:c>
      <x:c r="F15" s="23" t="n">
        <x:v>46367</x:v>
      </x:c>
      <x:c r="G15" s="22" t="n">
        <x:v>12</x:v>
      </x:c>
      <x:c r="H15" s="22" t="str">
        <x:v>Lead Engineer</x:v>
      </x:c>
      <x:c r="I15" s="22" t="str">
        <x:v>Critical</x:v>
      </x:c>
      <x:c r="J15" s="22" t="str">
        <x:v>Not Started</x:v>
      </x:c>
      <x:c r="K15" s="28" t="n">
        <x:v>0</x:v>
      </x:c>
      <x:c r="L15" s="22" t="str">
        <x:v>T008,T009,T010</x:v>
      </x:c>
      <x:c r="M15" s="22" t="str">
        <x:v>Architecture Gate</x:v>
      </x:c>
      <x:c r="N15" s="22" t="str">
        <x:v>Fresh project can be provisioned reproducibly</x:v>
      </x:c>
      <x:c r="O15" s="22" t="str"/>
      <x:c r="P15" s="22" t="str"/>
      <x:c r="Q15" s="23" t="n">
        <x:v>46284</x:v>
      </x:c>
    </x:row>
    <x:row r="16">
      <x:c r="A16" s="22" t="str">
        <x:v>T013</x:v>
      </x:c>
      <x:c r="B16" s="22" t="str">
        <x:v>P2</x:v>
      </x:c>
      <x:c r="C16" s="22" t="str">
        <x:v>Identity</x:v>
      </x:c>
      <x:c r="D16" s="22" t="str">
        <x:v>Person/profile model separate from auth account</x:v>
      </x:c>
      <x:c r="E16" s="23" t="n">
        <x:v>46370</x:v>
      </x:c>
      <x:c r="F16" s="23" t="n">
        <x:v>46380</x:v>
      </x:c>
      <x:c r="G16" s="22" t="n">
        <x:v>11</x:v>
      </x:c>
      <x:c r="H16" s="22" t="str">
        <x:v>Lead Engineer</x:v>
      </x:c>
      <x:c r="I16" s="22" t="str">
        <x:v>Critical</x:v>
      </x:c>
      <x:c r="J16" s="22" t="str">
        <x:v>Not Started</x:v>
      </x:c>
      <x:c r="K16" s="28" t="n">
        <x:v>0</x:v>
      </x:c>
      <x:c r="L16" s="22" t="str">
        <x:v>T012</x:v>
      </x:c>
      <x:c r="M16" s="22" t="str">
        <x:v>Foundation Alpha</x:v>
      </x:c>
      <x:c r="N16" s="22" t="str">
        <x:v>Schema + RLS tests pass</x:v>
      </x:c>
      <x:c r="O16" s="22" t="str"/>
      <x:c r="P16" s="22" t="str"/>
      <x:c r="Q16" s="23" t="n">
        <x:v>46284</x:v>
      </x:c>
    </x:row>
    <x:row r="17">
      <x:c r="A17" s="22" t="str">
        <x:v>T014</x:v>
      </x:c>
      <x:c r="B17" s="22" t="str">
        <x:v>P2</x:v>
      </x:c>
      <x:c r="C17" s="22" t="str">
        <x:v>Authentication</x:v>
      </x:c>
      <x:c r="D17" s="22" t="str">
        <x:v>Email/username login routing and school generated IDs</x:v>
      </x:c>
      <x:c r="E17" s="23" t="n">
        <x:v>46377</x:v>
      </x:c>
      <x:c r="F17" s="23" t="n">
        <x:v>46395</x:v>
      </x:c>
      <x:c r="G17" s="22" t="n">
        <x:v>19</x:v>
      </x:c>
      <x:c r="H17" s="22" t="str">
        <x:v>Lead Engineer</x:v>
      </x:c>
      <x:c r="I17" s="22" t="str">
        <x:v>Critical</x:v>
      </x:c>
      <x:c r="J17" s="22" t="str">
        <x:v>Not Started</x:v>
      </x:c>
      <x:c r="K17" s="28" t="n">
        <x:v>0</x:v>
      </x:c>
      <x:c r="L17" s="22" t="str">
        <x:v>T013</x:v>
      </x:c>
      <x:c r="M17" s="22" t="str">
        <x:v>Foundation Alpha</x:v>
      </x:c>
      <x:c r="N17" s="22" t="str">
        <x:v>Login and identity mapping verified</x:v>
      </x:c>
      <x:c r="O17" s="22" t="str"/>
      <x:c r="P17" s="22" t="str"/>
      <x:c r="Q17" s="23" t="n">
        <x:v>46284</x:v>
      </x:c>
    </x:row>
    <x:row r="18">
      <x:c r="A18" s="22" t="str">
        <x:v>T015</x:v>
      </x:c>
      <x:c r="B18" s="22" t="str">
        <x:v>P2</x:v>
      </x:c>
      <x:c r="C18" s="22" t="str">
        <x:v>RBAC</x:v>
      </x:c>
      <x:c r="D18" s="22" t="str">
        <x:v>Role catalog and multiple-role account model</x:v>
      </x:c>
      <x:c r="E18" s="23" t="n">
        <x:v>46384</x:v>
      </x:c>
      <x:c r="F18" s="23" t="n">
        <x:v>46402</x:v>
      </x:c>
      <x:c r="G18" s="22" t="n">
        <x:v>19</x:v>
      </x:c>
      <x:c r="H18" s="22" t="str">
        <x:v>Lead Engineer</x:v>
      </x:c>
      <x:c r="I18" s="22" t="str">
        <x:v>Critical</x:v>
      </x:c>
      <x:c r="J18" s="22" t="str">
        <x:v>Not Started</x:v>
      </x:c>
      <x:c r="K18" s="28" t="n">
        <x:v>0</x:v>
      </x:c>
      <x:c r="L18" s="22" t="str">
        <x:v>T013</x:v>
      </x:c>
      <x:c r="M18" s="22" t="str">
        <x:v>Foundation Alpha</x:v>
      </x:c>
      <x:c r="N18" s="22" t="str">
        <x:v>Multi-role switching works</x:v>
      </x:c>
      <x:c r="O18" s="22" t="str"/>
      <x:c r="P18" s="22" t="str"/>
      <x:c r="Q18" s="23" t="n">
        <x:v>46284</x:v>
      </x:c>
    </x:row>
    <x:row r="19">
      <x:c r="A19" s="22" t="str">
        <x:v>T016</x:v>
      </x:c>
      <x:c r="B19" s="22" t="str">
        <x:v>P2</x:v>
      </x:c>
      <x:c r="C19" s="22" t="str">
        <x:v>RBAC</x:v>
      </x:c>
      <x:c r="D19" s="22" t="str">
        <x:v>Permission actions: view/create/update/cancel/approve/export/publish</x:v>
      </x:c>
      <x:c r="E19" s="23" t="n">
        <x:v>46391</x:v>
      </x:c>
      <x:c r="F19" s="23" t="n">
        <x:v>46409</x:v>
      </x:c>
      <x:c r="G19" s="22" t="n">
        <x:v>19</x:v>
      </x:c>
      <x:c r="H19" s="22" t="str">
        <x:v>Lead Engineer</x:v>
      </x:c>
      <x:c r="I19" s="22" t="str">
        <x:v>Critical</x:v>
      </x:c>
      <x:c r="J19" s="22" t="str">
        <x:v>Not Started</x:v>
      </x:c>
      <x:c r="K19" s="28" t="n">
        <x:v>0</x:v>
      </x:c>
      <x:c r="L19" s="22" t="str">
        <x:v>T015</x:v>
      </x:c>
      <x:c r="M19" s="22" t="str">
        <x:v>Foundation Alpha</x:v>
      </x:c>
      <x:c r="N19" s="22" t="str">
        <x:v>Action permissions enforced</x:v>
      </x:c>
      <x:c r="O19" s="22" t="str"/>
      <x:c r="P19" s="22" t="str"/>
      <x:c r="Q19" s="23" t="n">
        <x:v>46284</x:v>
      </x:c>
    </x:row>
    <x:row r="20">
      <x:c r="A20" s="22" t="str">
        <x:v>T017</x:v>
      </x:c>
      <x:c r="B20" s="22" t="str">
        <x:v>P2</x:v>
      </x:c>
      <x:c r="C20" s="22" t="str">
        <x:v>RBAC</x:v>
      </x:c>
      <x:c r="D20" s="22" t="str">
        <x:v>Scope model: campus/class/section/subject/assigned/own</x:v>
      </x:c>
      <x:c r="E20" s="23" t="n">
        <x:v>46398</x:v>
      </x:c>
      <x:c r="F20" s="23" t="n">
        <x:v>46416</x:v>
      </x:c>
      <x:c r="G20" s="22" t="n">
        <x:v>19</x:v>
      </x:c>
      <x:c r="H20" s="22" t="str">
        <x:v>Lead Engineer</x:v>
      </x:c>
      <x:c r="I20" s="22" t="str">
        <x:v>Critical</x:v>
      </x:c>
      <x:c r="J20" s="22" t="str">
        <x:v>Not Started</x:v>
      </x:c>
      <x:c r="K20" s="28" t="n">
        <x:v>0</x:v>
      </x:c>
      <x:c r="L20" s="22" t="str">
        <x:v>T016</x:v>
      </x:c>
      <x:c r="M20" s="22" t="str">
        <x:v>Foundation Alpha</x:v>
      </x:c>
      <x:c r="N20" s="22" t="str">
        <x:v>Scope tests include negative cases</x:v>
      </x:c>
      <x:c r="O20" s="22" t="str"/>
      <x:c r="P20" s="22" t="str"/>
      <x:c r="Q20" s="23" t="n">
        <x:v>46284</x:v>
      </x:c>
    </x:row>
    <x:row r="21">
      <x:c r="A21" s="22" t="str">
        <x:v>T018</x:v>
      </x:c>
      <x:c r="B21" s="22" t="str">
        <x:v>P2</x:v>
      </x:c>
      <x:c r="C21" s="22" t="str">
        <x:v>School Setup</x:v>
      </x:c>
      <x:c r="D21" s="22" t="str">
        <x:v>School profile and configuration</x:v>
      </x:c>
      <x:c r="E21" s="23" t="n">
        <x:v>46405</x:v>
      </x:c>
      <x:c r="F21" s="23" t="n">
        <x:v>46423</x:v>
      </x:c>
      <x:c r="G21" s="22" t="n">
        <x:v>19</x:v>
      </x:c>
      <x:c r="H21" s="22" t="str">
        <x:v>Lead Engineer</x:v>
      </x:c>
      <x:c r="I21" s="22" t="str">
        <x:v>High</x:v>
      </x:c>
      <x:c r="J21" s="22" t="str">
        <x:v>Not Started</x:v>
      </x:c>
      <x:c r="K21" s="28" t="n">
        <x:v>0</x:v>
      </x:c>
      <x:c r="L21" s="22" t="str">
        <x:v>T013</x:v>
      </x:c>
      <x:c r="M21" s="22" t="str">
        <x:v>Foundation Alpha</x:v>
      </x:c>
      <x:c r="N21" s="22" t="str">
        <x:v>Configuration persisted and validated</x:v>
      </x:c>
      <x:c r="O21" s="22" t="str"/>
      <x:c r="P21" s="22" t="str"/>
      <x:c r="Q21" s="23" t="n">
        <x:v>46284</x:v>
      </x:c>
    </x:row>
    <x:row r="22">
      <x:c r="A22" s="22" t="str">
        <x:v>T019</x:v>
      </x:c>
      <x:c r="B22" s="22" t="str">
        <x:v>P2</x:v>
      </x:c>
      <x:c r="C22" s="22" t="str">
        <x:v>Campus</x:v>
      </x:c>
      <x:c r="D22" s="22" t="str">
        <x:v>Campus entities, rooms and campus-level assignment</x:v>
      </x:c>
      <x:c r="E22" s="23" t="n">
        <x:v>46412</x:v>
      </x:c>
      <x:c r="F22" s="23" t="n">
        <x:v>46423</x:v>
      </x:c>
      <x:c r="G22" s="22" t="n">
        <x:v>12</x:v>
      </x:c>
      <x:c r="H22" s="22" t="str">
        <x:v>Lead Engineer</x:v>
      </x:c>
      <x:c r="I22" s="22" t="str">
        <x:v>Critical</x:v>
      </x:c>
      <x:c r="J22" s="22" t="str">
        <x:v>Not Started</x:v>
      </x:c>
      <x:c r="K22" s="28" t="n">
        <x:v>0</x:v>
      </x:c>
      <x:c r="L22" s="22" t="str">
        <x:v>T018</x:v>
      </x:c>
      <x:c r="M22" s="22" t="str">
        <x:v>Foundation Alpha</x:v>
      </x:c>
      <x:c r="N22" s="22" t="str">
        <x:v>Campus separation enforced</x:v>
      </x:c>
      <x:c r="O22" s="22" t="str"/>
      <x:c r="P22" s="22" t="str"/>
      <x:c r="Q22" s="23" t="n">
        <x:v>46284</x:v>
      </x:c>
    </x:row>
    <x:row r="23">
      <x:c r="A23" s="22" t="str">
        <x:v>T020</x:v>
      </x:c>
      <x:c r="B23" s="22" t="str">
        <x:v>P2</x:v>
      </x:c>
      <x:c r="C23" s="22" t="str">
        <x:v>Academic</x:v>
      </x:c>
      <x:c r="D23" s="22" t="str">
        <x:v>Academic years, active year and historical switching</x:v>
      </x:c>
      <x:c r="E23" s="23" t="n">
        <x:v>46419</x:v>
      </x:c>
      <x:c r="F23" s="23" t="n">
        <x:v>46430</x:v>
      </x:c>
      <x:c r="G23" s="22" t="n">
        <x:v>12</x:v>
      </x:c>
      <x:c r="H23" s="22" t="str">
        <x:v>Lead Engineer</x:v>
      </x:c>
      <x:c r="I23" s="22" t="str">
        <x:v>Critical</x:v>
      </x:c>
      <x:c r="J23" s="22" t="str">
        <x:v>Not Started</x:v>
      </x:c>
      <x:c r="K23" s="28" t="n">
        <x:v>0</x:v>
      </x:c>
      <x:c r="L23" s="22" t="str">
        <x:v>T018</x:v>
      </x:c>
      <x:c r="M23" s="22" t="str">
        <x:v>Foundation Alpha</x:v>
      </x:c>
      <x:c r="N23" s="22" t="str">
        <x:v>Historic years accessible</x:v>
      </x:c>
      <x:c r="O23" s="22" t="str"/>
      <x:c r="P23" s="22" t="str"/>
      <x:c r="Q23" s="23" t="n">
        <x:v>46284</x:v>
      </x:c>
    </x:row>
    <x:row r="24">
      <x:c r="A24" s="22" t="str">
        <x:v>T021</x:v>
      </x:c>
      <x:c r="B24" s="22" t="str">
        <x:v>P2</x:v>
      </x:c>
      <x:c r="C24" s="22" t="str">
        <x:v>Academic</x:v>
      </x:c>
      <x:c r="D24" s="22" t="str">
        <x:v>Class, section, capacity and roll-number configuration</x:v>
      </x:c>
      <x:c r="E24" s="23" t="n">
        <x:v>46419</x:v>
      </x:c>
      <x:c r="F24" s="23" t="n">
        <x:v>46430</x:v>
      </x:c>
      <x:c r="G24" s="22" t="n">
        <x:v>12</x:v>
      </x:c>
      <x:c r="H24" s="22" t="str">
        <x:v>Lead Engineer</x:v>
      </x:c>
      <x:c r="I24" s="22" t="str">
        <x:v>Critical</x:v>
      </x:c>
      <x:c r="J24" s="22" t="str">
        <x:v>Not Started</x:v>
      </x:c>
      <x:c r="K24" s="28" t="n">
        <x:v>0</x:v>
      </x:c>
      <x:c r="L24" s="22" t="str">
        <x:v>T019</x:v>
      </x:c>
      <x:c r="M24" s="22" t="str">
        <x:v>Foundation Alpha</x:v>
      </x:c>
      <x:c r="N24" s="22" t="str">
        <x:v>Capacity and numbering rules validated</x:v>
      </x:c>
      <x:c r="O24" s="22" t="str"/>
      <x:c r="P24" s="22" t="str"/>
      <x:c r="Q24" s="23" t="n">
        <x:v>46284</x:v>
      </x:c>
    </x:row>
    <x:row r="25">
      <x:c r="A25" s="22" t="str">
        <x:v>T022</x:v>
      </x:c>
      <x:c r="B25" s="22" t="str">
        <x:v>P3</x:v>
      </x:c>
      <x:c r="C25" s="22" t="str">
        <x:v>Students</x:v>
      </x:c>
      <x:c r="D25" s="22" t="str">
        <x:v>Student core profile and statuses</x:v>
      </x:c>
      <x:c r="E25" s="23" t="n">
        <x:v>46433</x:v>
      </x:c>
      <x:c r="F25" s="23" t="n">
        <x:v>46444</x:v>
      </x:c>
      <x:c r="G25" s="22" t="n">
        <x:v>12</x:v>
      </x:c>
      <x:c r="H25" s="22" t="str">
        <x:v>Lead Engineer</x:v>
      </x:c>
      <x:c r="I25" s="22" t="str">
        <x:v>Critical</x:v>
      </x:c>
      <x:c r="J25" s="22" t="str">
        <x:v>Not Started</x:v>
      </x:c>
      <x:c r="K25" s="28" t="n">
        <x:v>0</x:v>
      </x:c>
      <x:c r="L25" s="22" t="str">
        <x:v>T020,T021</x:v>
      </x:c>
      <x:c r="M25" s="22" t="str">
        <x:v>Student Core Alpha</x:v>
      </x:c>
      <x:c r="N25" s="22" t="str">
        <x:v>CRUD respects permissions</x:v>
      </x:c>
      <x:c r="O25" s="22" t="str"/>
      <x:c r="P25" s="22" t="str"/>
      <x:c r="Q25" s="23" t="n">
        <x:v>46284</x:v>
      </x:c>
    </x:row>
    <x:row r="26">
      <x:c r="A26" s="22" t="str">
        <x:v>T023</x:v>
      </x:c>
      <x:c r="B26" s="22" t="str">
        <x:v>P3</x:v>
      </x:c>
      <x:c r="C26" s="22" t="str">
        <x:v>Families</x:v>
      </x:c>
      <x:c r="D26" s="22" t="str">
        <x:v>Shared family account and student-family relationships</x:v>
      </x:c>
      <x:c r="E26" s="23" t="n">
        <x:v>46440</x:v>
      </x:c>
      <x:c r="F26" s="23" t="n">
        <x:v>46451</x:v>
      </x:c>
      <x:c r="G26" s="22" t="n">
        <x:v>12</x:v>
      </x:c>
      <x:c r="H26" s="22" t="str">
        <x:v>Lead Engineer</x:v>
      </x:c>
      <x:c r="I26" s="22" t="str">
        <x:v>Critical</x:v>
      </x:c>
      <x:c r="J26" s="22" t="str">
        <x:v>Not Started</x:v>
      </x:c>
      <x:c r="K26" s="28" t="n">
        <x:v>0</x:v>
      </x:c>
      <x:c r="L26" s="22" t="str">
        <x:v>T022</x:v>
      </x:c>
      <x:c r="M26" s="22" t="str">
        <x:v>Student Core Alpha</x:v>
      </x:c>
      <x:c r="N26" s="22" t="str">
        <x:v>One family sees all linked children</x:v>
      </x:c>
      <x:c r="O26" s="22" t="str"/>
      <x:c r="P26" s="22" t="str"/>
      <x:c r="Q26" s="23" t="n">
        <x:v>46284</x:v>
      </x:c>
    </x:row>
    <x:row r="27">
      <x:c r="A27" s="22" t="str">
        <x:v>T024</x:v>
      </x:c>
      <x:c r="B27" s="22" t="str">
        <x:v>P3</x:v>
      </x:c>
      <x:c r="C27" s="22" t="str">
        <x:v>Students</x:v>
      </x:c>
      <x:c r="D27" s="22" t="str">
        <x:v>Student numbering / admission format engine</x:v>
      </x:c>
      <x:c r="E27" s="23" t="n">
        <x:v>46447</x:v>
      </x:c>
      <x:c r="F27" s="23" t="n">
        <x:v>46458</x:v>
      </x:c>
      <x:c r="G27" s="22" t="n">
        <x:v>12</x:v>
      </x:c>
      <x:c r="H27" s="22" t="str">
        <x:v>Lead Engineer</x:v>
      </x:c>
      <x:c r="I27" s="22" t="str">
        <x:v>High</x:v>
      </x:c>
      <x:c r="J27" s="22" t="str">
        <x:v>Not Started</x:v>
      </x:c>
      <x:c r="K27" s="28" t="n">
        <x:v>0</x:v>
      </x:c>
      <x:c r="L27" s="22" t="str">
        <x:v>T022</x:v>
      </x:c>
      <x:c r="M27" s="22" t="str">
        <x:v>Student Core Alpha</x:v>
      </x:c>
      <x:c r="N27" s="22" t="str">
        <x:v>School-defined pattern passes validation</x:v>
      </x:c>
      <x:c r="O27" s="22" t="str"/>
      <x:c r="P27" s="22" t="str"/>
      <x:c r="Q27" s="23" t="n">
        <x:v>46284</x:v>
      </x:c>
    </x:row>
    <x:row r="28">
      <x:c r="A28" s="22" t="str">
        <x:v>T025</x:v>
      </x:c>
      <x:c r="B28" s="22" t="str">
        <x:v>P3</x:v>
      </x:c>
      <x:c r="C28" s="22" t="str">
        <x:v>Admissions</x:v>
      </x:c>
      <x:c r="D28" s="22" t="str">
        <x:v>Configurable admission stages and status history</x:v>
      </x:c>
      <x:c r="E28" s="23" t="n">
        <x:v>46454</x:v>
      </x:c>
      <x:c r="F28" s="23" t="n">
        <x:v>46472</x:v>
      </x:c>
      <x:c r="G28" s="22" t="n">
        <x:v>19</x:v>
      </x:c>
      <x:c r="H28" s="22" t="str">
        <x:v>Lead Engineer</x:v>
      </x:c>
      <x:c r="I28" s="22" t="str">
        <x:v>High</x:v>
      </x:c>
      <x:c r="J28" s="22" t="str">
        <x:v>Not Started</x:v>
      </x:c>
      <x:c r="K28" s="28" t="n">
        <x:v>0</x:v>
      </x:c>
      <x:c r="L28" s="22" t="str">
        <x:v>T023</x:v>
      </x:c>
      <x:c r="M28" s="22" t="str">
        <x:v>Student Core Alpha</x:v>
      </x:c>
      <x:c r="N28" s="22" t="str">
        <x:v>Stages can be skipped/configured</x:v>
      </x:c>
      <x:c r="O28" s="22" t="str"/>
      <x:c r="P28" s="22" t="str"/>
      <x:c r="Q28" s="23" t="n">
        <x:v>46284</x:v>
      </x:c>
    </x:row>
    <x:row r="29">
      <x:c r="A29" s="22" t="str">
        <x:v>T026</x:v>
      </x:c>
      <x:c r="B29" s="22" t="str">
        <x:v>P3</x:v>
      </x:c>
      <x:c r="C29" s="22" t="str">
        <x:v>Admissions</x:v>
      </x:c>
      <x:c r="D29" s="22" t="str">
        <x:v>Application / admission documents and storage links</x:v>
      </x:c>
      <x:c r="E29" s="23" t="n">
        <x:v>46461</x:v>
      </x:c>
      <x:c r="F29" s="23" t="n">
        <x:v>46479</x:v>
      </x:c>
      <x:c r="G29" s="22" t="n">
        <x:v>19</x:v>
      </x:c>
      <x:c r="H29" s="22" t="str">
        <x:v>Lead Engineer</x:v>
      </x:c>
      <x:c r="I29" s="22" t="str">
        <x:v>High</x:v>
      </x:c>
      <x:c r="J29" s="22" t="str">
        <x:v>Not Started</x:v>
      </x:c>
      <x:c r="K29" s="28" t="n">
        <x:v>0</x:v>
      </x:c>
      <x:c r="L29" s="22" t="str">
        <x:v>T025</x:v>
      </x:c>
      <x:c r="M29" s="22" t="str">
        <x:v>Student Core Alpha</x:v>
      </x:c>
      <x:c r="N29" s="22" t="str">
        <x:v>Private storage and 1MB policy applied</x:v>
      </x:c>
      <x:c r="O29" s="22" t="str"/>
      <x:c r="P29" s="22" t="str"/>
      <x:c r="Q29" s="23" t="n">
        <x:v>46284</x:v>
      </x:c>
    </x:row>
    <x:row r="30">
      <x:c r="A30" s="22" t="str">
        <x:v>T027</x:v>
      </x:c>
      <x:c r="B30" s="22" t="str">
        <x:v>P3</x:v>
      </x:c>
      <x:c r="C30" s="22" t="str">
        <x:v>Enrollment</x:v>
      </x:c>
      <x:c r="D30" s="22" t="str">
        <x:v>Enrollment history by year/campus/class/section/roll</x:v>
      </x:c>
      <x:c r="E30" s="23" t="n">
        <x:v>46468</x:v>
      </x:c>
      <x:c r="F30" s="23" t="n">
        <x:v>46479</x:v>
      </x:c>
      <x:c r="G30" s="22" t="n">
        <x:v>12</x:v>
      </x:c>
      <x:c r="H30" s="22" t="str">
        <x:v>Lead Engineer</x:v>
      </x:c>
      <x:c r="I30" s="22" t="str">
        <x:v>Critical</x:v>
      </x:c>
      <x:c r="J30" s="22" t="str">
        <x:v>Not Started</x:v>
      </x:c>
      <x:c r="K30" s="28" t="n">
        <x:v>0</x:v>
      </x:c>
      <x:c r="L30" s="22" t="str">
        <x:v>T022,T025</x:v>
      </x:c>
      <x:c r="M30" s="22" t="str">
        <x:v>Student Core Alpha</x:v>
      </x:c>
      <x:c r="N30" s="22" t="str">
        <x:v>History never overwritten</x:v>
      </x:c>
      <x:c r="O30" s="22" t="str"/>
      <x:c r="P30" s="22" t="str"/>
      <x:c r="Q30" s="23" t="n">
        <x:v>46284</x:v>
      </x:c>
    </x:row>
    <x:row r="31">
      <x:c r="A31" s="22" t="str">
        <x:v>T028</x:v>
      </x:c>
      <x:c r="B31" s="22" t="str">
        <x:v>P3</x:v>
      </x:c>
      <x:c r="C31" s="22" t="str">
        <x:v>Promotion</x:v>
      </x:c>
      <x:c r="D31" s="22" t="str">
        <x:v>Promotion/repeat/manual decision workflow</x:v>
      </x:c>
      <x:c r="E31" s="23" t="n">
        <x:v>46475</x:v>
      </x:c>
      <x:c r="F31" s="23" t="n">
        <x:v>46486</x:v>
      </x:c>
      <x:c r="G31" s="22" t="n">
        <x:v>12</x:v>
      </x:c>
      <x:c r="H31" s="22" t="str">
        <x:v>Lead Engineer</x:v>
      </x:c>
      <x:c r="I31" s="22" t="str">
        <x:v>Critical</x:v>
      </x:c>
      <x:c r="J31" s="22" t="str">
        <x:v>Not Started</x:v>
      </x:c>
      <x:c r="K31" s="28" t="n">
        <x:v>0</x:v>
      </x:c>
      <x:c r="L31" s="22" t="str">
        <x:v>T027</x:v>
      </x:c>
      <x:c r="M31" s="22" t="str">
        <x:v>Student Core Alpha</x:v>
      </x:c>
      <x:c r="N31" s="22" t="str">
        <x:v>New enrollment created correctly</x:v>
      </x:c>
      <x:c r="O31" s="22" t="str"/>
      <x:c r="P31" s="22" t="str"/>
      <x:c r="Q31" s="23" t="n">
        <x:v>46284</x:v>
      </x:c>
    </x:row>
    <x:row r="32">
      <x:c r="A32" s="22" t="str">
        <x:v>T029</x:v>
      </x:c>
      <x:c r="B32" s="22" t="str">
        <x:v>P3</x:v>
      </x:c>
      <x:c r="C32" s="22" t="str">
        <x:v>History</x:v>
      </x:c>
      <x:c r="D32" s="22" t="str">
        <x:v>Student status and important profile change history</x:v>
      </x:c>
      <x:c r="E32" s="23" t="n">
        <x:v>46475</x:v>
      </x:c>
      <x:c r="F32" s="23" t="n">
        <x:v>46486</x:v>
      </x:c>
      <x:c r="G32" s="22" t="n">
        <x:v>12</x:v>
      </x:c>
      <x:c r="H32" s="22" t="str">
        <x:v>Lead Engineer</x:v>
      </x:c>
      <x:c r="I32" s="22" t="str">
        <x:v>High</x:v>
      </x:c>
      <x:c r="J32" s="22" t="str">
        <x:v>Not Started</x:v>
      </x:c>
      <x:c r="K32" s="28" t="n">
        <x:v>0</x:v>
      </x:c>
      <x:c r="L32" s="22" t="str">
        <x:v>T022</x:v>
      </x:c>
      <x:c r="M32" s="22" t="str">
        <x:v>Student Core Alpha</x:v>
      </x:c>
      <x:c r="N32" s="22" t="str">
        <x:v>Status/change history auditable</x:v>
      </x:c>
      <x:c r="O32" s="22" t="str"/>
      <x:c r="P32" s="22" t="str"/>
      <x:c r="Q32" s="23" t="n">
        <x:v>46284</x:v>
      </x:c>
    </x:row>
    <x:row r="33">
      <x:c r="A33" s="22" t="str">
        <x:v>T030</x:v>
      </x:c>
      <x:c r="B33" s="22" t="str">
        <x:v>P4</x:v>
      </x:c>
      <x:c r="C33" s="22" t="str">
        <x:v>Curriculum</x:v>
      </x:c>
      <x:c r="D33" s="22" t="str">
        <x:v>Subjects, subject types and custom structures</x:v>
      </x:c>
      <x:c r="E33" s="23" t="n">
        <x:v>46468</x:v>
      </x:c>
      <x:c r="F33" s="23" t="n">
        <x:v>46479</x:v>
      </x:c>
      <x:c r="G33" s="22" t="n">
        <x:v>12</x:v>
      </x:c>
      <x:c r="H33" s="22" t="str">
        <x:v>Lead Engineer</x:v>
      </x:c>
      <x:c r="I33" s="22" t="str">
        <x:v>Critical</x:v>
      </x:c>
      <x:c r="J33" s="22" t="str">
        <x:v>Not Started</x:v>
      </x:c>
      <x:c r="K33" s="28" t="n">
        <x:v>0</x:v>
      </x:c>
      <x:c r="L33" s="22" t="str">
        <x:v>T020</x:v>
      </x:c>
      <x:c r="M33" s="22" t="str">
        <x:v>Academic Alpha</x:v>
      </x:c>
      <x:c r="N33" s="22" t="str">
        <x:v>Supports compulsory/optional/elective/practical</x:v>
      </x:c>
      <x:c r="O33" s="22" t="str"/>
      <x:c r="P33" s="22" t="str"/>
      <x:c r="Q33" s="23" t="n">
        <x:v>46284</x:v>
      </x:c>
    </x:row>
    <x:row r="34">
      <x:c r="A34" s="22" t="str">
        <x:v>T031</x:v>
      </x:c>
      <x:c r="B34" s="22" t="str">
        <x:v>P4</x:v>
      </x:c>
      <x:c r="C34" s="22" t="str">
        <x:v>Curriculum</x:v>
      </x:c>
      <x:c r="D34" s="22" t="str">
        <x:v>Curriculum by class/academic year</x:v>
      </x:c>
      <x:c r="E34" s="23" t="n">
        <x:v>46475</x:v>
      </x:c>
      <x:c r="F34" s="23" t="n">
        <x:v>46493</x:v>
      </x:c>
      <x:c r="G34" s="22" t="n">
        <x:v>19</x:v>
      </x:c>
      <x:c r="H34" s="22" t="str">
        <x:v>Lead Engineer</x:v>
      </x:c>
      <x:c r="I34" s="22" t="str">
        <x:v>High</x:v>
      </x:c>
      <x:c r="J34" s="22" t="str">
        <x:v>Not Started</x:v>
      </x:c>
      <x:c r="K34" s="28" t="n">
        <x:v>0</x:v>
      </x:c>
      <x:c r="L34" s="22" t="str">
        <x:v>T030</x:v>
      </x:c>
      <x:c r="M34" s="22" t="str">
        <x:v>Academic Alpha</x:v>
      </x:c>
      <x:c r="N34" s="22" t="str">
        <x:v>Class/year curriculum mapped</x:v>
      </x:c>
      <x:c r="O34" s="22" t="str"/>
      <x:c r="P34" s="22" t="str"/>
      <x:c r="Q34" s="23" t="n">
        <x:v>46284</x:v>
      </x:c>
    </x:row>
    <x:row r="35">
      <x:c r="A35" s="22" t="str">
        <x:v>T032</x:v>
      </x:c>
      <x:c r="B35" s="22" t="str">
        <x:v>P4</x:v>
      </x:c>
      <x:c r="C35" s="22" t="str">
        <x:v>Curriculum</x:v>
      </x:c>
      <x:c r="D35" s="22" t="str">
        <x:v>Student optional/elective subject enrollment</x:v>
      </x:c>
      <x:c r="E35" s="23" t="n">
        <x:v>46489</x:v>
      </x:c>
      <x:c r="F35" s="23" t="n">
        <x:v>46500</x:v>
      </x:c>
      <x:c r="G35" s="22" t="n">
        <x:v>12</x:v>
      </x:c>
      <x:c r="H35" s="22" t="str">
        <x:v>Lead Engineer</x:v>
      </x:c>
      <x:c r="I35" s="22" t="str">
        <x:v>High</x:v>
      </x:c>
      <x:c r="J35" s="22" t="str">
        <x:v>Not Started</x:v>
      </x:c>
      <x:c r="K35" s="28" t="n">
        <x:v>0</x:v>
      </x:c>
      <x:c r="L35" s="22" t="str">
        <x:v>T031,T027</x:v>
      </x:c>
      <x:c r="M35" s="22" t="str">
        <x:v>Academic Alpha</x:v>
      </x:c>
      <x:c r="N35" s="22" t="str">
        <x:v>Student-specific choices supported</x:v>
      </x:c>
      <x:c r="O35" s="22" t="str"/>
      <x:c r="P35" s="22" t="str"/>
      <x:c r="Q35" s="23" t="n">
        <x:v>46284</x:v>
      </x:c>
    </x:row>
    <x:row r="36">
      <x:c r="A36" s="22" t="str">
        <x:v>T033</x:v>
      </x:c>
      <x:c r="B36" s="22" t="str">
        <x:v>P4</x:v>
      </x:c>
      <x:c r="C36" s="22" t="str">
        <x:v>Employees</x:v>
      </x:c>
      <x:c r="D36" s="22" t="str">
        <x:v>Teacher/employee core profiles and documents</x:v>
      </x:c>
      <x:c r="E36" s="23" t="n">
        <x:v>46468</x:v>
      </x:c>
      <x:c r="F36" s="23" t="n">
        <x:v>46486</x:v>
      </x:c>
      <x:c r="G36" s="22" t="n">
        <x:v>19</x:v>
      </x:c>
      <x:c r="H36" s="22" t="str">
        <x:v>Lead Engineer</x:v>
      </x:c>
      <x:c r="I36" s="22" t="str">
        <x:v>Critical</x:v>
      </x:c>
      <x:c r="J36" s="22" t="str">
        <x:v>Not Started</x:v>
      </x:c>
      <x:c r="K36" s="28" t="n">
        <x:v>0</x:v>
      </x:c>
      <x:c r="L36" s="22" t="str">
        <x:v>T013,T018</x:v>
      </x:c>
      <x:c r="M36" s="22" t="str">
        <x:v>Academic Alpha</x:v>
      </x:c>
      <x:c r="N36" s="22" t="str">
        <x:v>Employee profile and documents secured</x:v>
      </x:c>
      <x:c r="O36" s="22" t="str"/>
      <x:c r="P36" s="22" t="str"/>
      <x:c r="Q36" s="23" t="n">
        <x:v>46284</x:v>
      </x:c>
    </x:row>
    <x:row r="37">
      <x:c r="A37" s="22" t="str">
        <x:v>T034</x:v>
      </x:c>
      <x:c r="B37" s="22" t="str">
        <x:v>P4</x:v>
      </x:c>
      <x:c r="C37" s="22" t="str">
        <x:v>Teaching</x:v>
      </x:c>
      <x:c r="D37" s="22" t="str">
        <x:v>Teacher subject/class/section/campus assignments</x:v>
      </x:c>
      <x:c r="E37" s="23" t="n">
        <x:v>46482</x:v>
      </x:c>
      <x:c r="F37" s="23" t="n">
        <x:v>46500</x:v>
      </x:c>
      <x:c r="G37" s="22" t="n">
        <x:v>19</x:v>
      </x:c>
      <x:c r="H37" s="22" t="str">
        <x:v>Lead Engineer</x:v>
      </x:c>
      <x:c r="I37" s="22" t="str">
        <x:v>Critical</x:v>
      </x:c>
      <x:c r="J37" s="22" t="str">
        <x:v>Not Started</x:v>
      </x:c>
      <x:c r="K37" s="28" t="n">
        <x:v>0</x:v>
      </x:c>
      <x:c r="L37" s="22" t="str">
        <x:v>T033,T030</x:v>
      </x:c>
      <x:c r="M37" s="22" t="str">
        <x:v>Academic Alpha</x:v>
      </x:c>
      <x:c r="N37" s="22" t="str">
        <x:v>Assignments drive authorization</x:v>
      </x:c>
      <x:c r="O37" s="22" t="str"/>
      <x:c r="P37" s="22" t="str"/>
      <x:c r="Q37" s="23" t="n">
        <x:v>46284</x:v>
      </x:c>
    </x:row>
    <x:row r="38">
      <x:c r="A38" s="22" t="str">
        <x:v>T035</x:v>
      </x:c>
      <x:c r="B38" s="22" t="str">
        <x:v>P4</x:v>
      </x:c>
      <x:c r="C38" s="22" t="str">
        <x:v>Teaching</x:v>
      </x:c>
      <x:c r="D38" s="22" t="str">
        <x:v>Class teacher assignment model</x:v>
      </x:c>
      <x:c r="E38" s="23" t="n">
        <x:v>46496</x:v>
      </x:c>
      <x:c r="F38" s="23" t="n">
        <x:v>46507</x:v>
      </x:c>
      <x:c r="G38" s="22" t="n">
        <x:v>12</x:v>
      </x:c>
      <x:c r="H38" s="22" t="str">
        <x:v>Lead Engineer</x:v>
      </x:c>
      <x:c r="I38" s="22" t="str">
        <x:v>High</x:v>
      </x:c>
      <x:c r="J38" s="22" t="str">
        <x:v>Not Started</x:v>
      </x:c>
      <x:c r="K38" s="28" t="n">
        <x:v>0</x:v>
      </x:c>
      <x:c r="L38" s="22" t="str">
        <x:v>T034</x:v>
      </x:c>
      <x:c r="M38" s="22" t="str">
        <x:v>Academic Alpha</x:v>
      </x:c>
      <x:c r="N38" s="22" t="str">
        <x:v>One class teacher per section configurable</x:v>
      </x:c>
      <x:c r="O38" s="22" t="str"/>
      <x:c r="P38" s="22" t="str"/>
      <x:c r="Q38" s="23" t="n">
        <x:v>46284</x:v>
      </x:c>
    </x:row>
    <x:row r="39">
      <x:c r="A39" s="22" t="str">
        <x:v>T036</x:v>
      </x:c>
      <x:c r="B39" s="22" t="str">
        <x:v>P4</x:v>
      </x:c>
      <x:c r="C39" s="22" t="str">
        <x:v>Timetable</x:v>
      </x:c>
      <x:c r="D39" s="22" t="str">
        <x:v>Timetable periods, school hours and breaks</x:v>
      </x:c>
      <x:c r="E39" s="23" t="n">
        <x:v>46503</x:v>
      </x:c>
      <x:c r="F39" s="23" t="n">
        <x:v>46514</x:v>
      </x:c>
      <x:c r="G39" s="22" t="n">
        <x:v>12</x:v>
      </x:c>
      <x:c r="H39" s="22" t="str">
        <x:v>Lead Engineer</x:v>
      </x:c>
      <x:c r="I39" s="22" t="str">
        <x:v>High</x:v>
      </x:c>
      <x:c r="J39" s="22" t="str">
        <x:v>Not Started</x:v>
      </x:c>
      <x:c r="K39" s="28" t="n">
        <x:v>0</x:v>
      </x:c>
      <x:c r="L39" s="22" t="str">
        <x:v>T034</x:v>
      </x:c>
      <x:c r="M39" s="22" t="str">
        <x:v>Academic Alpha</x:v>
      </x:c>
      <x:c r="N39" s="22" t="str">
        <x:v>Period structure configurable</x:v>
      </x:c>
      <x:c r="O39" s="22" t="str"/>
      <x:c r="P39" s="22" t="str"/>
      <x:c r="Q39" s="23" t="n">
        <x:v>46284</x:v>
      </x:c>
    </x:row>
    <x:row r="40">
      <x:c r="A40" s="22" t="str">
        <x:v>T037</x:v>
      </x:c>
      <x:c r="B40" s="22" t="str">
        <x:v>P4</x:v>
      </x:c>
      <x:c r="C40" s="22" t="str">
        <x:v>Timetable</x:v>
      </x:c>
      <x:c r="D40" s="22" t="str">
        <x:v>Conflict validation: teacher/room/class</x:v>
      </x:c>
      <x:c r="E40" s="23" t="n">
        <x:v>46510</x:v>
      </x:c>
      <x:c r="F40" s="23" t="n">
        <x:v>46521</x:v>
      </x:c>
      <x:c r="G40" s="22" t="n">
        <x:v>12</x:v>
      </x:c>
      <x:c r="H40" s="22" t="str">
        <x:v>Lead Engineer</x:v>
      </x:c>
      <x:c r="I40" s="22" t="str">
        <x:v>Critical</x:v>
      </x:c>
      <x:c r="J40" s="22" t="str">
        <x:v>Not Started</x:v>
      </x:c>
      <x:c r="K40" s="28" t="n">
        <x:v>0</x:v>
      </x:c>
      <x:c r="L40" s="22" t="str">
        <x:v>T036</x:v>
      </x:c>
      <x:c r="M40" s="22" t="str">
        <x:v>Academic Alpha</x:v>
      </x:c>
      <x:c r="N40" s="22" t="str">
        <x:v>No double booking</x:v>
      </x:c>
      <x:c r="O40" s="22" t="str"/>
      <x:c r="P40" s="22" t="str"/>
      <x:c r="Q40" s="23" t="n">
        <x:v>46284</x:v>
      </x:c>
    </x:row>
    <x:row r="41">
      <x:c r="A41" s="22" t="str">
        <x:v>T038</x:v>
      </x:c>
      <x:c r="B41" s="22" t="str">
        <x:v>P4</x:v>
      </x:c>
      <x:c r="C41" s="22" t="str">
        <x:v>Timetable</x:v>
      </x:c>
      <x:c r="D41" s="22" t="str">
        <x:v>Automatic timetable generator + manual adjustment</x:v>
      </x:c>
      <x:c r="E41" s="23" t="n">
        <x:v>46510</x:v>
      </x:c>
      <x:c r="F41" s="23" t="n">
        <x:v>46521</x:v>
      </x:c>
      <x:c r="G41" s="22" t="n">
        <x:v>12</x:v>
      </x:c>
      <x:c r="H41" s="22" t="str">
        <x:v>Lead Engineer</x:v>
      </x:c>
      <x:c r="I41" s="22" t="str">
        <x:v>High</x:v>
      </x:c>
      <x:c r="J41" s="22" t="str">
        <x:v>Not Started</x:v>
      </x:c>
      <x:c r="K41" s="28" t="n">
        <x:v>0</x:v>
      </x:c>
      <x:c r="L41" s="22" t="str">
        <x:v>T036,T037</x:v>
      </x:c>
      <x:c r="M41" s="22" t="str">
        <x:v>Academic Alpha</x:v>
      </x:c>
      <x:c r="N41" s="22" t="str">
        <x:v>Valid schedule generated or manual fallback</x:v>
      </x:c>
      <x:c r="O41" s="22" t="str"/>
      <x:c r="P41" s="22" t="str"/>
      <x:c r="Q41" s="23" t="n">
        <x:v>46284</x:v>
      </x:c>
    </x:row>
    <x:row r="42">
      <x:c r="A42" s="22" t="str">
        <x:v>T039</x:v>
      </x:c>
      <x:c r="B42" s="22" t="str">
        <x:v>P5</x:v>
      </x:c>
      <x:c r="C42" s="22" t="str">
        <x:v>Attendance</x:v>
      </x:c>
      <x:c r="D42" s="22" t="str">
        <x:v>Attendance session model: morning + optional post-break</x:v>
      </x:c>
      <x:c r="E42" s="23" t="n">
        <x:v>46503</x:v>
      </x:c>
      <x:c r="F42" s="23" t="n">
        <x:v>46514</x:v>
      </x:c>
      <x:c r="G42" s="22" t="n">
        <x:v>12</x:v>
      </x:c>
      <x:c r="H42" s="22" t="str">
        <x:v>Lead Engineer</x:v>
      </x:c>
      <x:c r="I42" s="22" t="str">
        <x:v>Critical</x:v>
      </x:c>
      <x:c r="J42" s="22" t="str">
        <x:v>Not Started</x:v>
      </x:c>
      <x:c r="K42" s="28" t="n">
        <x:v>0</x:v>
      </x:c>
      <x:c r="L42" s="22" t="str">
        <x:v>T034,T027</x:v>
      </x:c>
      <x:c r="M42" s="22" t="str">
        <x:v>Operations Alpha</x:v>
      </x:c>
      <x:c r="N42" s="22" t="str">
        <x:v>School-configured sessions supported</x:v>
      </x:c>
      <x:c r="O42" s="22" t="str"/>
      <x:c r="P42" s="22" t="str"/>
      <x:c r="Q42" s="23" t="n">
        <x:v>46284</x:v>
      </x:c>
    </x:row>
    <x:row r="43">
      <x:c r="A43" s="22" t="str">
        <x:v>T040</x:v>
      </x:c>
      <x:c r="B43" s="22" t="str">
        <x:v>P5</x:v>
      </x:c>
      <x:c r="C43" s="22" t="str">
        <x:v>Attendance</x:v>
      </x:c>
      <x:c r="D43" s="22" t="str">
        <x:v>Manual class attendance workflow</x:v>
      </x:c>
      <x:c r="E43" s="23" t="n">
        <x:v>46510</x:v>
      </x:c>
      <x:c r="F43" s="23" t="n">
        <x:v>46528</x:v>
      </x:c>
      <x:c r="G43" s="22" t="n">
        <x:v>19</x:v>
      </x:c>
      <x:c r="H43" s="22" t="str">
        <x:v>Lead Engineer</x:v>
      </x:c>
      <x:c r="I43" s="22" t="str">
        <x:v>Critical</x:v>
      </x:c>
      <x:c r="J43" s="22" t="str">
        <x:v>Not Started</x:v>
      </x:c>
      <x:c r="K43" s="28" t="n">
        <x:v>0</x:v>
      </x:c>
      <x:c r="L43" s="22" t="str">
        <x:v>T039</x:v>
      </x:c>
      <x:c r="M43" s="22" t="str">
        <x:v>Operations Alpha</x:v>
      </x:c>
      <x:c r="N43" s="22" t="str">
        <x:v>Assigned teacher/class scope enforced</x:v>
      </x:c>
      <x:c r="O43" s="22" t="str"/>
      <x:c r="P43" s="22" t="str"/>
      <x:c r="Q43" s="23" t="n">
        <x:v>46284</x:v>
      </x:c>
    </x:row>
    <x:row r="44">
      <x:c r="A44" s="22" t="str">
        <x:v>T041</x:v>
      </x:c>
      <x:c r="B44" s="22" t="str">
        <x:v>P5</x:v>
      </x:c>
      <x:c r="C44" s="22" t="str">
        <x:v>Attendance</x:v>
      </x:c>
      <x:c r="D44" s="22" t="str">
        <x:v>QR attendance flow and student-card token strategy</x:v>
      </x:c>
      <x:c r="E44" s="23" t="n">
        <x:v>46517</x:v>
      </x:c>
      <x:c r="F44" s="23" t="n">
        <x:v>46535</x:v>
      </x:c>
      <x:c r="G44" s="22" t="n">
        <x:v>19</x:v>
      </x:c>
      <x:c r="H44" s="22" t="str">
        <x:v>Lead Engineer</x:v>
      </x:c>
      <x:c r="I44" s="22" t="str">
        <x:v>High</x:v>
      </x:c>
      <x:c r="J44" s="22" t="str">
        <x:v>Not Started</x:v>
      </x:c>
      <x:c r="K44" s="28" t="n">
        <x:v>0</x:v>
      </x:c>
      <x:c r="L44" s="22" t="str">
        <x:v>T039</x:v>
      </x:c>
      <x:c r="M44" s="22" t="str">
        <x:v>Operations Alpha</x:v>
      </x:c>
      <x:c r="N44" s="22" t="str">
        <x:v>QR identifies valid student safely</x:v>
      </x:c>
      <x:c r="O44" s="22" t="str"/>
      <x:c r="P44" s="22" t="str"/>
      <x:c r="Q44" s="23" t="n">
        <x:v>46284</x:v>
      </x:c>
    </x:row>
    <x:row r="45">
      <x:c r="A45" s="22" t="str">
        <x:v>T042</x:v>
      </x:c>
      <x:c r="B45" s="22" t="str">
        <x:v>P5</x:v>
      </x:c>
      <x:c r="C45" s="22" t="str">
        <x:v>Attendance</x:v>
      </x:c>
      <x:c r="D45" s="22" t="str">
        <x:v>Late, early departure, leave and status handling</x:v>
      </x:c>
      <x:c r="E45" s="23" t="n">
        <x:v>46524</x:v>
      </x:c>
      <x:c r="F45" s="23" t="n">
        <x:v>46542</x:v>
      </x:c>
      <x:c r="G45" s="22" t="n">
        <x:v>19</x:v>
      </x:c>
      <x:c r="H45" s="22" t="str">
        <x:v>Lead Engineer</x:v>
      </x:c>
      <x:c r="I45" s="22" t="str">
        <x:v>High</x:v>
      </x:c>
      <x:c r="J45" s="22" t="str">
        <x:v>Not Started</x:v>
      </x:c>
      <x:c r="K45" s="28" t="n">
        <x:v>0</x:v>
      </x:c>
      <x:c r="L45" s="22" t="str">
        <x:v>T040</x:v>
      </x:c>
      <x:c r="M45" s="22" t="str">
        <x:v>Operations Alpha</x:v>
      </x:c>
      <x:c r="N45" s="22" t="str">
        <x:v>All attendance states supported</x:v>
      </x:c>
      <x:c r="O45" s="22" t="str"/>
      <x:c r="P45" s="22" t="str"/>
      <x:c r="Q45" s="23" t="n">
        <x:v>46284</x:v>
      </x:c>
    </x:row>
    <x:row r="46">
      <x:c r="A46" s="22" t="str">
        <x:v>T043</x:v>
      </x:c>
      <x:c r="B46" s="22" t="str">
        <x:v>P5</x:v>
      </x:c>
      <x:c r="C46" s="22" t="str">
        <x:v>Attendance</x:v>
      </x:c>
      <x:c r="D46" s="22" t="str">
        <x:v>Attendance correction approval workflow</x:v>
      </x:c>
      <x:c r="E46" s="23" t="n">
        <x:v>46531</x:v>
      </x:c>
      <x:c r="F46" s="23" t="n">
        <x:v>46549</x:v>
      </x:c>
      <x:c r="G46" s="22" t="n">
        <x:v>19</x:v>
      </x:c>
      <x:c r="H46" s="22" t="str">
        <x:v>Lead Engineer</x:v>
      </x:c>
      <x:c r="I46" s="22" t="str">
        <x:v>Critical</x:v>
      </x:c>
      <x:c r="J46" s="22" t="str">
        <x:v>Not Started</x:v>
      </x:c>
      <x:c r="K46" s="28" t="n">
        <x:v>0</x:v>
      </x:c>
      <x:c r="L46" s="22" t="str">
        <x:v>T040</x:v>
      </x:c>
      <x:c r="M46" s="22" t="str">
        <x:v>Operations Alpha</x:v>
      </x:c>
      <x:c r="N46" s="22" t="str">
        <x:v>Correction retains old/new/reason/approval</x:v>
      </x:c>
      <x:c r="O46" s="22" t="str"/>
      <x:c r="P46" s="22" t="str"/>
      <x:c r="Q46" s="23" t="n">
        <x:v>46284</x:v>
      </x:c>
    </x:row>
    <x:row r="47">
      <x:c r="A47" s="22" t="str">
        <x:v>T044</x:v>
      </x:c>
      <x:c r="B47" s="22" t="str">
        <x:v>P5</x:v>
      </x:c>
      <x:c r="C47" s="22" t="str">
        <x:v>Learning</x:v>
      </x:c>
      <x:c r="D47" s="22" t="str">
        <x:v>Homework/assignment/project/worksheet model</x:v>
      </x:c>
      <x:c r="E47" s="23" t="n">
        <x:v>46517</x:v>
      </x:c>
      <x:c r="F47" s="23" t="n">
        <x:v>46535</x:v>
      </x:c>
      <x:c r="G47" s="22" t="n">
        <x:v>19</x:v>
      </x:c>
      <x:c r="H47" s="22" t="str">
        <x:v>Lead Engineer</x:v>
      </x:c>
      <x:c r="I47" s="22" t="str">
        <x:v>High</x:v>
      </x:c>
      <x:c r="J47" s="22" t="str">
        <x:v>Not Started</x:v>
      </x:c>
      <x:c r="K47" s="28" t="n">
        <x:v>0</x:v>
      </x:c>
      <x:c r="L47" s="22" t="str">
        <x:v>T031,T034</x:v>
      </x:c>
      <x:c r="M47" s="22" t="str">
        <x:v>Operations Alpha</x:v>
      </x:c>
      <x:c r="N47" s="22" t="str">
        <x:v>Work assigned to correct audience</x:v>
      </x:c>
      <x:c r="O47" s="22" t="str"/>
      <x:c r="P47" s="22" t="str"/>
      <x:c r="Q47" s="23" t="n">
        <x:v>46284</x:v>
      </x:c>
    </x:row>
    <x:row r="48">
      <x:c r="A48" s="22" t="str">
        <x:v>T045</x:v>
      </x:c>
      <x:c r="B48" s="22" t="str">
        <x:v>P5</x:v>
      </x:c>
      <x:c r="C48" s="22" t="str">
        <x:v>Learning</x:v>
      </x:c>
      <x:c r="D48" s="22" t="str">
        <x:v>Student submissions, attachments, marks and feedback</x:v>
      </x:c>
      <x:c r="E48" s="23" t="n">
        <x:v>46531</x:v>
      </x:c>
      <x:c r="F48" s="23" t="n">
        <x:v>46549</x:v>
      </x:c>
      <x:c r="G48" s="22" t="n">
        <x:v>19</x:v>
      </x:c>
      <x:c r="H48" s="22" t="str">
        <x:v>Lead Engineer</x:v>
      </x:c>
      <x:c r="I48" s="22" t="str">
        <x:v>High</x:v>
      </x:c>
      <x:c r="J48" s="22" t="str">
        <x:v>Not Started</x:v>
      </x:c>
      <x:c r="K48" s="28" t="n">
        <x:v>0</x:v>
      </x:c>
      <x:c r="L48" s="22" t="str">
        <x:v>T044</x:v>
      </x:c>
      <x:c r="M48" s="22" t="str">
        <x:v>Operations Alpha</x:v>
      </x:c>
      <x:c r="N48" s="22" t="str">
        <x:v>Submission lifecycle complete</x:v>
      </x:c>
      <x:c r="O48" s="22" t="str"/>
      <x:c r="P48" s="22" t="str"/>
      <x:c r="Q48" s="23" t="n">
        <x:v>46284</x:v>
      </x:c>
    </x:row>
    <x:row r="49">
      <x:c r="A49" s="22" t="str">
        <x:v>T046</x:v>
      </x:c>
      <x:c r="B49" s="22" t="str">
        <x:v>P5</x:v>
      </x:c>
      <x:c r="C49" s="22" t="str">
        <x:v>Notifications</x:v>
      </x:c>
      <x:c r="D49" s="22" t="str">
        <x:v>Notification inbox/read state/event interface</x:v>
      </x:c>
      <x:c r="E49" s="23" t="n">
        <x:v>46539</x:v>
      </x:c>
      <x:c r="F49" s="23" t="n">
        <x:v>46556</x:v>
      </x:c>
      <x:c r="G49" s="22" t="n">
        <x:v>18</x:v>
      </x:c>
      <x:c r="H49" s="22" t="str">
        <x:v>Lead Engineer</x:v>
      </x:c>
      <x:c r="I49" s="22" t="str">
        <x:v>Critical</x:v>
      </x:c>
      <x:c r="J49" s="22" t="str">
        <x:v>Not Started</x:v>
      </x:c>
      <x:c r="K49" s="28" t="n">
        <x:v>0</x:v>
      </x:c>
      <x:c r="L49" s="22" t="str">
        <x:v>T017</x:v>
      </x:c>
      <x:c r="M49" s="22" t="str">
        <x:v>Operations Alpha</x:v>
      </x:c>
      <x:c r="N49" s="22" t="str">
        <x:v>Read/unread and event records work</x:v>
      </x:c>
      <x:c r="O49" s="22" t="str"/>
      <x:c r="P49" s="22" t="str"/>
      <x:c r="Q49" s="23" t="n">
        <x:v>46284</x:v>
      </x:c>
    </x:row>
    <x:row r="50">
      <x:c r="A50" s="22" t="str">
        <x:v>T047</x:v>
      </x:c>
      <x:c r="B50" s="22" t="str">
        <x:v>P5</x:v>
      </x:c>
      <x:c r="C50" s="22" t="str">
        <x:v>Notifications</x:v>
      </x:c>
      <x:c r="D50" s="22" t="str">
        <x:v>Attendance absence alerts to parents</x:v>
      </x:c>
      <x:c r="E50" s="23" t="n">
        <x:v>46552</x:v>
      </x:c>
      <x:c r="F50" s="23" t="n">
        <x:v>46563</x:v>
      </x:c>
      <x:c r="G50" s="22" t="n">
        <x:v>12</x:v>
      </x:c>
      <x:c r="H50" s="22" t="str">
        <x:v>Lead Engineer</x:v>
      </x:c>
      <x:c r="I50" s="22" t="str">
        <x:v>High</x:v>
      </x:c>
      <x:c r="J50" s="22" t="str">
        <x:v>Not Started</x:v>
      </x:c>
      <x:c r="K50" s="28" t="n">
        <x:v>0</x:v>
      </x:c>
      <x:c r="L50" s="22" t="str">
        <x:v>T040,T046</x:v>
      </x:c>
      <x:c r="M50" s="22" t="str">
        <x:v>Operations Alpha</x:v>
      </x:c>
      <x:c r="N50" s="22" t="str">
        <x:v>Correct family notified</x:v>
      </x:c>
      <x:c r="O50" s="22" t="str"/>
      <x:c r="P50" s="22" t="str"/>
      <x:c r="Q50" s="23" t="n">
        <x:v>46284</x:v>
      </x:c>
    </x:row>
    <x:row r="51">
      <x:c r="A51" s="22" t="str">
        <x:v>T048</x:v>
      </x:c>
      <x:c r="B51" s="22" t="str">
        <x:v>P6</x:v>
      </x:c>
      <x:c r="C51" s="22" t="str">
        <x:v>Assessment</x:v>
      </x:c>
      <x:c r="D51" s="22" t="str">
        <x:v>Assessment/exam type configuration</x:v>
      </x:c>
      <x:c r="E51" s="23" t="n">
        <x:v>46552</x:v>
      </x:c>
      <x:c r="F51" s="23" t="n">
        <x:v>46563</x:v>
      </x:c>
      <x:c r="G51" s="22" t="n">
        <x:v>12</x:v>
      </x:c>
      <x:c r="H51" s="22" t="str">
        <x:v>Lead Engineer</x:v>
      </x:c>
      <x:c r="I51" s="22" t="str">
        <x:v>Critical</x:v>
      </x:c>
      <x:c r="J51" s="22" t="str">
        <x:v>Not Started</x:v>
      </x:c>
      <x:c r="K51" s="28" t="n">
        <x:v>0</x:v>
      </x:c>
      <x:c r="L51" s="22" t="str">
        <x:v>T031</x:v>
      </x:c>
      <x:c r="M51" s="22" t="str">
        <x:v>Academic Pilot</x:v>
      </x:c>
      <x:c r="N51" s="22" t="str">
        <x:v>Unlimited/custom types supported</x:v>
      </x:c>
      <x:c r="O51" s="22" t="str"/>
      <x:c r="P51" s="22" t="str"/>
      <x:c r="Q51" s="23" t="n">
        <x:v>46284</x:v>
      </x:c>
    </x:row>
    <x:row r="52">
      <x:c r="A52" s="22" t="str">
        <x:v>T049</x:v>
      </x:c>
      <x:c r="B52" s="22" t="str">
        <x:v>P6</x:v>
      </x:c>
      <x:c r="C52" s="22" t="str">
        <x:v>Assessment</x:v>
      </x:c>
      <x:c r="D52" s="22" t="str">
        <x:v>Exam sessions, papers and custom mark components</x:v>
      </x:c>
      <x:c r="E52" s="23" t="n">
        <x:v>46559</x:v>
      </x:c>
      <x:c r="F52" s="23" t="n">
        <x:v>46577</x:v>
      </x:c>
      <x:c r="G52" s="22" t="n">
        <x:v>19</x:v>
      </x:c>
      <x:c r="H52" s="22" t="str">
        <x:v>Lead Engineer</x:v>
      </x:c>
      <x:c r="I52" s="22" t="str">
        <x:v>Critical</x:v>
      </x:c>
      <x:c r="J52" s="22" t="str">
        <x:v>Not Started</x:v>
      </x:c>
      <x:c r="K52" s="28" t="n">
        <x:v>0</x:v>
      </x:c>
      <x:c r="L52" s="22" t="str">
        <x:v>T048</x:v>
      </x:c>
      <x:c r="M52" s="22" t="str">
        <x:v>Academic Pilot</x:v>
      </x:c>
      <x:c r="N52" s="22" t="str">
        <x:v>Theory/practical/custom parts supported</x:v>
      </x:c>
      <x:c r="O52" s="22" t="str"/>
      <x:c r="P52" s="22" t="str"/>
      <x:c r="Q52" s="23" t="n">
        <x:v>46284</x:v>
      </x:c>
    </x:row>
    <x:row r="53">
      <x:c r="A53" s="22" t="str">
        <x:v>T050</x:v>
      </x:c>
      <x:c r="B53" s="22" t="str">
        <x:v>P6</x:v>
      </x:c>
      <x:c r="C53" s="22" t="str">
        <x:v>Assessment</x:v>
      </x:c>
      <x:c r="D53" s="22" t="str">
        <x:v>Grading systems, pass rules and GPA options</x:v>
      </x:c>
      <x:c r="E53" s="23" t="n">
        <x:v>46566</x:v>
      </x:c>
      <x:c r="F53" s="23" t="n">
        <x:v>46584</x:v>
      </x:c>
      <x:c r="G53" s="22" t="n">
        <x:v>19</x:v>
      </x:c>
      <x:c r="H53" s="22" t="str">
        <x:v>Lead Engineer</x:v>
      </x:c>
      <x:c r="I53" s="22" t="str">
        <x:v>Critical</x:v>
      </x:c>
      <x:c r="J53" s="22" t="str">
        <x:v>Not Started</x:v>
      </x:c>
      <x:c r="K53" s="28" t="n">
        <x:v>0</x:v>
      </x:c>
      <x:c r="L53" s="22" t="str">
        <x:v>T049</x:v>
      </x:c>
      <x:c r="M53" s="22" t="str">
        <x:v>Academic Pilot</x:v>
      </x:c>
      <x:c r="N53" s="22" t="str">
        <x:v>School-defined grading works</x:v>
      </x:c>
      <x:c r="O53" s="22" t="str"/>
      <x:c r="P53" s="22" t="str"/>
      <x:c r="Q53" s="23" t="n">
        <x:v>46284</x:v>
      </x:c>
    </x:row>
    <x:row r="54">
      <x:c r="A54" s="22" t="str">
        <x:v>T051</x:v>
      </x:c>
      <x:c r="B54" s="22" t="str">
        <x:v>P6</x:v>
      </x:c>
      <x:c r="C54" s="22" t="str">
        <x:v>Marks</x:v>
      </x:c>
      <x:c r="D54" s="22" t="str">
        <x:v>Teacher mark entry by assigned subject scope</x:v>
      </x:c>
      <x:c r="E54" s="23" t="n">
        <x:v>46573</x:v>
      </x:c>
      <x:c r="F54" s="23" t="n">
        <x:v>46591</x:v>
      </x:c>
      <x:c r="G54" s="22" t="n">
        <x:v>19</x:v>
      </x:c>
      <x:c r="H54" s="22" t="str">
        <x:v>Lead Engineer</x:v>
      </x:c>
      <x:c r="I54" s="22" t="str">
        <x:v>Critical</x:v>
      </x:c>
      <x:c r="J54" s="22" t="str">
        <x:v>Not Started</x:v>
      </x:c>
      <x:c r="K54" s="28" t="n">
        <x:v>0</x:v>
      </x:c>
      <x:c r="L54" s="22" t="str">
        <x:v>T034,T049</x:v>
      </x:c>
      <x:c r="M54" s="22" t="str">
        <x:v>Academic Pilot</x:v>
      </x:c>
      <x:c r="N54" s="22" t="str">
        <x:v>Unauthorized subject entry blocked</x:v>
      </x:c>
      <x:c r="O54" s="22" t="str"/>
      <x:c r="P54" s="22" t="str"/>
      <x:c r="Q54" s="23" t="n">
        <x:v>46284</x:v>
      </x:c>
    </x:row>
    <x:row r="55">
      <x:c r="A55" s="22" t="str">
        <x:v>T052</x:v>
      </x:c>
      <x:c r="B55" s="22" t="str">
        <x:v>P6</x:v>
      </x:c>
      <x:c r="C55" s="22" t="str">
        <x:v>Marks</x:v>
      </x:c>
      <x:c r="D55" s="22" t="str">
        <x:v>Marks correction request and revision history</x:v>
      </x:c>
      <x:c r="E55" s="23" t="n">
        <x:v>46580</x:v>
      </x:c>
      <x:c r="F55" s="23" t="n">
        <x:v>46598</x:v>
      </x:c>
      <x:c r="G55" s="22" t="n">
        <x:v>19</x:v>
      </x:c>
      <x:c r="H55" s="22" t="str">
        <x:v>Lead Engineer</x:v>
      </x:c>
      <x:c r="I55" s="22" t="str">
        <x:v>Critical</x:v>
      </x:c>
      <x:c r="J55" s="22" t="str">
        <x:v>Not Started</x:v>
      </x:c>
      <x:c r="K55" s="28" t="n">
        <x:v>0</x:v>
      </x:c>
      <x:c r="L55" s="22" t="str">
        <x:v>T051</x:v>
      </x:c>
      <x:c r="M55" s="22" t="str">
        <x:v>Academic Pilot</x:v>
      </x:c>
      <x:c r="N55" s="22" t="str">
        <x:v>Old/new marks and approvals retained</x:v>
      </x:c>
      <x:c r="O55" s="22" t="str"/>
      <x:c r="P55" s="22" t="str"/>
      <x:c r="Q55" s="23" t="n">
        <x:v>46284</x:v>
      </x:c>
    </x:row>
    <x:row r="56">
      <x:c r="A56" s="22" t="str">
        <x:v>T053</x:v>
      </x:c>
      <x:c r="B56" s="22" t="str">
        <x:v>P6</x:v>
      </x:c>
      <x:c r="C56" s="22" t="str">
        <x:v>Results</x:v>
      </x:c>
      <x:c r="D56" s="22" t="str">
        <x:v>Result calculation totals/percentage/averages/ranking</x:v>
      </x:c>
      <x:c r="E56" s="23" t="n">
        <x:v>46587</x:v>
      </x:c>
      <x:c r="F56" s="23" t="n">
        <x:v>46605</x:v>
      </x:c>
      <x:c r="G56" s="22" t="n">
        <x:v>19</x:v>
      </x:c>
      <x:c r="H56" s="22" t="str">
        <x:v>Lead Engineer</x:v>
      </x:c>
      <x:c r="I56" s="22" t="str">
        <x:v>Critical</x:v>
      </x:c>
      <x:c r="J56" s="22" t="str">
        <x:v>Not Started</x:v>
      </x:c>
      <x:c r="K56" s="28" t="n">
        <x:v>0</x:v>
      </x:c>
      <x:c r="L56" s="22" t="str">
        <x:v>T050,T051</x:v>
      </x:c>
      <x:c r="M56" s="22" t="str">
        <x:v>Academic Pilot</x:v>
      </x:c>
      <x:c r="N56" s="22" t="str">
        <x:v>Calculated results validated</x:v>
      </x:c>
      <x:c r="O56" s="22" t="str"/>
      <x:c r="P56" s="22" t="str"/>
      <x:c r="Q56" s="23" t="n">
        <x:v>46284</x:v>
      </x:c>
    </x:row>
    <x:row r="57">
      <x:c r="A57" s="22" t="str">
        <x:v>T054</x:v>
      </x:c>
      <x:c r="B57" s="22" t="str">
        <x:v>P6</x:v>
      </x:c>
      <x:c r="C57" s="22" t="str">
        <x:v>Results</x:v>
      </x:c>
      <x:c r="D57" s="22" t="str">
        <x:v>Exam Controller review, publish and lock workflow</x:v>
      </x:c>
      <x:c r="E57" s="23" t="n">
        <x:v>46594</x:v>
      </x:c>
      <x:c r="F57" s="23" t="n">
        <x:v>46612</x:v>
      </x:c>
      <x:c r="G57" s="22" t="n">
        <x:v>19</x:v>
      </x:c>
      <x:c r="H57" s="22" t="str">
        <x:v>Lead Engineer</x:v>
      </x:c>
      <x:c r="I57" s="22" t="str">
        <x:v>Critical</x:v>
      </x:c>
      <x:c r="J57" s="22" t="str">
        <x:v>Not Started</x:v>
      </x:c>
      <x:c r="K57" s="28" t="n">
        <x:v>0</x:v>
      </x:c>
      <x:c r="L57" s="22" t="str">
        <x:v>T052</x:v>
      </x:c>
      <x:c r="M57" s="22" t="str">
        <x:v>Academic Pilot</x:v>
      </x:c>
      <x:c r="N57" s="22" t="str">
        <x:v>Publish blocked until review gate passes</x:v>
      </x:c>
      <x:c r="O57" s="22" t="str"/>
      <x:c r="P57" s="22" t="str"/>
      <x:c r="Q57" s="23" t="n">
        <x:v>46284</x:v>
      </x:c>
    </x:row>
    <x:row r="58">
      <x:c r="A58" s="22" t="str">
        <x:v>T055</x:v>
      </x:c>
      <x:c r="B58" s="22" t="str">
        <x:v>P6</x:v>
      </x:c>
      <x:c r="C58" s="22" t="str">
        <x:v>Results</x:v>
      </x:c>
      <x:c r="D58" s="22" t="str">
        <x:v>Result card / DMC dynamic generation</x:v>
      </x:c>
      <x:c r="E58" s="23" t="n">
        <x:v>46601</x:v>
      </x:c>
      <x:c r="F58" s="23" t="n">
        <x:v>46619</x:v>
      </x:c>
      <x:c r="G58" s="22" t="n">
        <x:v>19</x:v>
      </x:c>
      <x:c r="H58" s="22" t="str">
        <x:v>Lead Engineer</x:v>
      </x:c>
      <x:c r="I58" s="22" t="str">
        <x:v>High</x:v>
      </x:c>
      <x:c r="J58" s="22" t="str">
        <x:v>Not Started</x:v>
      </x:c>
      <x:c r="K58" s="28" t="n">
        <x:v>0</x:v>
      </x:c>
      <x:c r="L58" s="22" t="str">
        <x:v>T053</x:v>
      </x:c>
      <x:c r="M58" s="22" t="str">
        <x:v>Academic Pilot</x:v>
      </x:c>
      <x:c r="N58" s="22" t="str">
        <x:v>PDF generated on demand, not stored</x:v>
      </x:c>
      <x:c r="O58" s="22" t="str"/>
      <x:c r="P58" s="22" t="str"/>
      <x:c r="Q58" s="23" t="n">
        <x:v>46284</x:v>
      </x:c>
    </x:row>
    <x:row r="59">
      <x:c r="A59" s="22" t="str">
        <x:v>T056</x:v>
      </x:c>
      <x:c r="B59" s="22" t="str">
        <x:v>P6</x:v>
      </x:c>
      <x:c r="C59" s="22" t="str">
        <x:v>Assessment</x:v>
      </x:c>
      <x:c r="D59" s="22" t="str">
        <x:v>Online tests: MCQ/T-F/short answer/essay baseline</x:v>
      </x:c>
      <x:c r="E59" s="23" t="n">
        <x:v>46587</x:v>
      </x:c>
      <x:c r="F59" s="23" t="n">
        <x:v>46619</x:v>
      </x:c>
      <x:c r="G59" s="22" t="n">
        <x:v>33</x:v>
      </x:c>
      <x:c r="H59" s="22" t="str">
        <x:v>Lead Engineer</x:v>
      </x:c>
      <x:c r="I59" s="22" t="str">
        <x:v>Medium</x:v>
      </x:c>
      <x:c r="J59" s="22" t="str">
        <x:v>Not Started</x:v>
      </x:c>
      <x:c r="K59" s="28" t="n">
        <x:v>0</x:v>
      </x:c>
      <x:c r="L59" s="22" t="str">
        <x:v>T048,T044</x:v>
      </x:c>
      <x:c r="M59" s="22" t="str">
        <x:v>Academic Pilot</x:v>
      </x:c>
      <x:c r="N59" s="22" t="str">
        <x:v>Attempt and marking lifecycle works</x:v>
      </x:c>
      <x:c r="O59" s="22" t="str"/>
      <x:c r="P59" s="22" t="str"/>
      <x:c r="Q59" s="23" t="n">
        <x:v>46284</x:v>
      </x:c>
    </x:row>
    <x:row r="60">
      <x:c r="A60" s="22" t="str">
        <x:v>T057</x:v>
      </x:c>
      <x:c r="B60" s="22" t="str">
        <x:v>P7</x:v>
      </x:c>
      <x:c r="C60" s="22" t="str">
        <x:v>Finance</x:v>
      </x:c>
      <x:c r="D60" s="22" t="str">
        <x:v>Fee types and fee structure engine</x:v>
      </x:c>
      <x:c r="E60" s="23" t="n">
        <x:v>46608</x:v>
      </x:c>
      <x:c r="F60" s="23" t="n">
        <x:v>46626</x:v>
      </x:c>
      <x:c r="G60" s="22" t="n">
        <x:v>19</x:v>
      </x:c>
      <x:c r="H60" s="22" t="str">
        <x:v>Lead Engineer</x:v>
      </x:c>
      <x:c r="I60" s="22" t="str">
        <x:v>Critical</x:v>
      </x:c>
      <x:c r="J60" s="22" t="str">
        <x:v>Not Started</x:v>
      </x:c>
      <x:c r="K60" s="28" t="n">
        <x:v>0</x:v>
      </x:c>
      <x:c r="L60" s="22" t="str">
        <x:v>T027</x:v>
      </x:c>
      <x:c r="M60" s="22" t="str">
        <x:v>School Beta</x:v>
      </x:c>
      <x:c r="N60" s="22" t="str">
        <x:v>Fee structure configurable</x:v>
      </x:c>
      <x:c r="O60" s="22" t="str"/>
      <x:c r="P60" s="22" t="str"/>
      <x:c r="Q60" s="23" t="n">
        <x:v>46284</x:v>
      </x:c>
    </x:row>
    <x:row r="61">
      <x:c r="A61" s="22" t="str">
        <x:v>T058</x:v>
      </x:c>
      <x:c r="B61" s="22" t="str">
        <x:v>P7</x:v>
      </x:c>
      <x:c r="C61" s="22" t="str">
        <x:v>Finance</x:v>
      </x:c>
      <x:c r="D61" s="22" t="str">
        <x:v>Billing frequencies and student/class/campus/year fee assignment</x:v>
      </x:c>
      <x:c r="E61" s="23" t="n">
        <x:v>46615</x:v>
      </x:c>
      <x:c r="F61" s="23" t="n">
        <x:v>46633</x:v>
      </x:c>
      <x:c r="G61" s="22" t="n">
        <x:v>19</x:v>
      </x:c>
      <x:c r="H61" s="22" t="str">
        <x:v>Lead Engineer</x:v>
      </x:c>
      <x:c r="I61" s="22" t="str">
        <x:v>Critical</x:v>
      </x:c>
      <x:c r="J61" s="22" t="str">
        <x:v>Not Started</x:v>
      </x:c>
      <x:c r="K61" s="28" t="n">
        <x:v>0</x:v>
      </x:c>
      <x:c r="L61" s="22" t="str">
        <x:v>T057</x:v>
      </x:c>
      <x:c r="M61" s="22" t="str">
        <x:v>School Beta</x:v>
      </x:c>
      <x:c r="N61" s="22" t="str">
        <x:v>Monthly/quarterly/half-yearly/annual/custom supported</x:v>
      </x:c>
      <x:c r="O61" s="22" t="str"/>
      <x:c r="P61" s="22" t="str"/>
      <x:c r="Q61" s="23" t="n">
        <x:v>46284</x:v>
      </x:c>
    </x:row>
    <x:row r="62">
      <x:c r="A62" s="22" t="str">
        <x:v>T059</x:v>
      </x:c>
      <x:c r="B62" s="22" t="str">
        <x:v>P7</x:v>
      </x:c>
      <x:c r="C62" s="22" t="str">
        <x:v>Finance</x:v>
      </x:c>
      <x:c r="D62" s="22" t="str">
        <x:v>Policy and custom discounts / scholarships</x:v>
      </x:c>
      <x:c r="E62" s="23" t="n">
        <x:v>46622</x:v>
      </x:c>
      <x:c r="F62" s="23" t="n">
        <x:v>46640</x:v>
      </x:c>
      <x:c r="G62" s="22" t="n">
        <x:v>19</x:v>
      </x:c>
      <x:c r="H62" s="22" t="str">
        <x:v>Lead Engineer</x:v>
      </x:c>
      <x:c r="I62" s="22" t="str">
        <x:v>Critical</x:v>
      </x:c>
      <x:c r="J62" s="22" t="str">
        <x:v>Not Started</x:v>
      </x:c>
      <x:c r="K62" s="28" t="n">
        <x:v>0</x:v>
      </x:c>
      <x:c r="L62" s="22" t="str">
        <x:v>T058</x:v>
      </x:c>
      <x:c r="M62" s="22" t="str">
        <x:v>School Beta</x:v>
      </x:c>
      <x:c r="N62" s="22" t="str">
        <x:v>Policy + student-specific discounts work</x:v>
      </x:c>
      <x:c r="O62" s="22" t="str"/>
      <x:c r="P62" s="22" t="str"/>
      <x:c r="Q62" s="23" t="n">
        <x:v>46284</x:v>
      </x:c>
    </x:row>
    <x:row r="63">
      <x:c r="A63" s="22" t="str">
        <x:v>T060</x:v>
      </x:c>
      <x:c r="B63" s="22" t="str">
        <x:v>P7</x:v>
      </x:c>
      <x:c r="C63" s="22" t="str">
        <x:v>Finance</x:v>
      </x:c>
      <x:c r="D63" s="22" t="str">
        <x:v>Invoice numbering and dynamic PDF generation</x:v>
      </x:c>
      <x:c r="E63" s="23" t="n">
        <x:v>46629</x:v>
      </x:c>
      <x:c r="F63" s="23" t="n">
        <x:v>46647</x:v>
      </x:c>
      <x:c r="G63" s="22" t="n">
        <x:v>19</x:v>
      </x:c>
      <x:c r="H63" s="22" t="str">
        <x:v>Lead Engineer</x:v>
      </x:c>
      <x:c r="I63" s="22" t="str">
        <x:v>High</x:v>
      </x:c>
      <x:c r="J63" s="22" t="str">
        <x:v>Not Started</x:v>
      </x:c>
      <x:c r="K63" s="28" t="n">
        <x:v>0</x:v>
      </x:c>
      <x:c r="L63" s="22" t="str">
        <x:v>T058</x:v>
      </x:c>
      <x:c r="M63" s="22" t="str">
        <x:v>School Beta</x:v>
      </x:c>
      <x:c r="N63" s="22" t="str">
        <x:v>INV-YYYY-MM-number generated uniquely</x:v>
      </x:c>
      <x:c r="O63" s="22" t="str"/>
      <x:c r="P63" s="22" t="str"/>
      <x:c r="Q63" s="23" t="n">
        <x:v>46284</x:v>
      </x:c>
    </x:row>
    <x:row r="64">
      <x:c r="A64" s="22" t="str">
        <x:v>T061</x:v>
      </x:c>
      <x:c r="B64" s="22" t="str">
        <x:v>P7</x:v>
      </x:c>
      <x:c r="C64" s="22" t="str">
        <x:v>Payments</x:v>
      </x:c>
      <x:c r="D64" s="22" t="str">
        <x:v>Cash/bank/wallet payment records and evidence storage</x:v>
      </x:c>
      <x:c r="E64" s="23" t="n">
        <x:v>46636</x:v>
      </x:c>
      <x:c r="F64" s="23" t="n">
        <x:v>46654</x:v>
      </x:c>
      <x:c r="G64" s="22" t="n">
        <x:v>19</x:v>
      </x:c>
      <x:c r="H64" s="22" t="str">
        <x:v>Lead Engineer</x:v>
      </x:c>
      <x:c r="I64" s="22" t="str">
        <x:v>Critical</x:v>
      </x:c>
      <x:c r="J64" s="22" t="str">
        <x:v>Not Started</x:v>
      </x:c>
      <x:c r="K64" s="28" t="n">
        <x:v>0</x:v>
      </x:c>
      <x:c r="L64" s="22" t="str">
        <x:v>T058</x:v>
      </x:c>
      <x:c r="M64" s="22" t="str">
        <x:v>School Beta</x:v>
      </x:c>
      <x:c r="N64" s="22" t="str">
        <x:v>Evidence securely stored</x:v>
      </x:c>
      <x:c r="O64" s="22" t="str"/>
      <x:c r="P64" s="22" t="str"/>
      <x:c r="Q64" s="23" t="n">
        <x:v>46284</x:v>
      </x:c>
    </x:row>
    <x:row r="65">
      <x:c r="A65" s="22" t="str">
        <x:v>T062</x:v>
      </x:c>
      <x:c r="B65" s="22" t="str">
        <x:v>P7</x:v>
      </x:c>
      <x:c r="C65" s="22" t="str">
        <x:v>Payments</x:v>
      </x:c>
      <x:c r="D65" s="22" t="str">
        <x:v>Pending verification / approve / reject / correction flow</x:v>
      </x:c>
      <x:c r="E65" s="23" t="n">
        <x:v>46643</x:v>
      </x:c>
      <x:c r="F65" s="23" t="n">
        <x:v>46661</x:v>
      </x:c>
      <x:c r="G65" s="22" t="n">
        <x:v>19</x:v>
      </x:c>
      <x:c r="H65" s="22" t="str">
        <x:v>Lead Engineer</x:v>
      </x:c>
      <x:c r="I65" s="22" t="str">
        <x:v>Critical</x:v>
      </x:c>
      <x:c r="J65" s="22" t="str">
        <x:v>Not Started</x:v>
      </x:c>
      <x:c r="K65" s="28" t="n">
        <x:v>0</x:v>
      </x:c>
      <x:c r="L65" s="22" t="str">
        <x:v>T061</x:v>
      </x:c>
      <x:c r="M65" s="22" t="str">
        <x:v>School Beta</x:v>
      </x:c>
      <x:c r="N65" s="22" t="str">
        <x:v>Unverified payment not official</x:v>
      </x:c>
      <x:c r="O65" s="22" t="str"/>
      <x:c r="P65" s="22" t="str"/>
      <x:c r="Q65" s="23" t="n">
        <x:v>46284</x:v>
      </x:c>
    </x:row>
    <x:row r="66">
      <x:c r="A66" s="22" t="str">
        <x:v>T063</x:v>
      </x:c>
      <x:c r="B66" s="22" t="str">
        <x:v>P7</x:v>
      </x:c>
      <x:c r="C66" s="22" t="str">
        <x:v>Payments</x:v>
      </x:c>
      <x:c r="D66" s="22" t="str">
        <x:v>Duplicate payment detection</x:v>
      </x:c>
      <x:c r="E66" s="23" t="n">
        <x:v>46650</x:v>
      </x:c>
      <x:c r="F66" s="23" t="n">
        <x:v>46661</x:v>
      </x:c>
      <x:c r="G66" s="22" t="n">
        <x:v>12</x:v>
      </x:c>
      <x:c r="H66" s="22" t="str">
        <x:v>Lead Engineer</x:v>
      </x:c>
      <x:c r="I66" s="22" t="str">
        <x:v>High</x:v>
      </x:c>
      <x:c r="J66" s="22" t="str">
        <x:v>Not Started</x:v>
      </x:c>
      <x:c r="K66" s="28" t="n">
        <x:v>0</x:v>
      </x:c>
      <x:c r="L66" s="22" t="str">
        <x:v>T061</x:v>
      </x:c>
      <x:c r="M66" s="22" t="str">
        <x:v>School Beta</x:v>
      </x:c>
      <x:c r="N66" s="22" t="str">
        <x:v>Duplicates flagged</x:v>
      </x:c>
      <x:c r="O66" s="22" t="str"/>
      <x:c r="P66" s="22" t="str"/>
      <x:c r="Q66" s="23" t="n">
        <x:v>46284</x:v>
      </x:c>
    </x:row>
    <x:row r="67">
      <x:c r="A67" s="22" t="str">
        <x:v>T064</x:v>
      </x:c>
      <x:c r="B67" s="22" t="str">
        <x:v>P7</x:v>
      </x:c>
      <x:c r="C67" s="22" t="str">
        <x:v>Payments</x:v>
      </x:c>
      <x:c r="D67" s="22" t="str">
        <x:v>Permanent receipt numbering and dynamic receipt generation</x:v>
      </x:c>
      <x:c r="E67" s="23" t="n">
        <x:v>46657</x:v>
      </x:c>
      <x:c r="F67" s="23" t="n">
        <x:v>46668</x:v>
      </x:c>
      <x:c r="G67" s="22" t="n">
        <x:v>12</x:v>
      </x:c>
      <x:c r="H67" s="22" t="str">
        <x:v>Lead Engineer</x:v>
      </x:c>
      <x:c r="I67" s="22" t="str">
        <x:v>Critical</x:v>
      </x:c>
      <x:c r="J67" s="22" t="str">
        <x:v>Not Started</x:v>
      </x:c>
      <x:c r="K67" s="28" t="n">
        <x:v>0</x:v>
      </x:c>
      <x:c r="L67" s="22" t="str">
        <x:v>T062</x:v>
      </x:c>
      <x:c r="M67" s="22" t="str">
        <x:v>School Beta</x:v>
      </x:c>
      <x:c r="N67" s="22" t="str">
        <x:v>Receipt number permanent</x:v>
      </x:c>
      <x:c r="O67" s="22" t="str"/>
      <x:c r="P67" s="22" t="str"/>
      <x:c r="Q67" s="23" t="n">
        <x:v>46284</x:v>
      </x:c>
    </x:row>
    <x:row r="68">
      <x:c r="A68" s="22" t="str">
        <x:v>T065</x:v>
      </x:c>
      <x:c r="B68" s="22" t="str">
        <x:v>P7</x:v>
      </x:c>
      <x:c r="C68" s="22" t="str">
        <x:v>Finance</x:v>
      </x:c>
      <x:c r="D68" s="22" t="str">
        <x:v>Partial, advance, allocation, credit and refund handling</x:v>
      </x:c>
      <x:c r="E68" s="23" t="n">
        <x:v>46664</x:v>
      </x:c>
      <x:c r="F68" s="23" t="n">
        <x:v>46675</x:v>
      </x:c>
      <x:c r="G68" s="22" t="n">
        <x:v>12</x:v>
      </x:c>
      <x:c r="H68" s="22" t="str">
        <x:v>Lead Engineer</x:v>
      </x:c>
      <x:c r="I68" s="22" t="str">
        <x:v>Critical</x:v>
      </x:c>
      <x:c r="J68" s="22" t="str">
        <x:v>Not Started</x:v>
      </x:c>
      <x:c r="K68" s="28" t="n">
        <x:v>0</x:v>
      </x:c>
      <x:c r="L68" s="22" t="str">
        <x:v>T058,T062</x:v>
      </x:c>
      <x:c r="M68" s="22" t="str">
        <x:v>School Beta</x:v>
      </x:c>
      <x:c r="N68" s="22" t="str">
        <x:v>Balances reconcile after all scenarios</x:v>
      </x:c>
      <x:c r="O68" s="22" t="str"/>
      <x:c r="P68" s="22" t="str"/>
      <x:c r="Q68" s="23" t="n">
        <x:v>46284</x:v>
      </x:c>
    </x:row>
    <x:row r="69">
      <x:c r="A69" s="22" t="str">
        <x:v>T066</x:v>
      </x:c>
      <x:c r="B69" s="22" t="str">
        <x:v>P7</x:v>
      </x:c>
      <x:c r="C69" s="22" t="str">
        <x:v>Finance</x:v>
      </x:c>
      <x:c r="D69" s="22" t="str">
        <x:v>Overdue balance, late fee and reminder rules</x:v>
      </x:c>
      <x:c r="E69" s="23" t="n">
        <x:v>46664</x:v>
      </x:c>
      <x:c r="F69" s="23" t="n">
        <x:v>46675</x:v>
      </x:c>
      <x:c r="G69" s="22" t="n">
        <x:v>12</x:v>
      </x:c>
      <x:c r="H69" s="22" t="str">
        <x:v>Lead Engineer</x:v>
      </x:c>
      <x:c r="I69" s="22" t="str">
        <x:v>High</x:v>
      </x:c>
      <x:c r="J69" s="22" t="str">
        <x:v>Not Started</x:v>
      </x:c>
      <x:c r="K69" s="28" t="n">
        <x:v>0</x:v>
      </x:c>
      <x:c r="L69" s="22" t="str">
        <x:v>T058,T046</x:v>
      </x:c>
      <x:c r="M69" s="22" t="str">
        <x:v>School Beta</x:v>
      </x:c>
      <x:c r="N69" s="22" t="str">
        <x:v>Overdue automation configurable</x:v>
      </x:c>
      <x:c r="O69" s="22" t="str"/>
      <x:c r="P69" s="22" t="str"/>
      <x:c r="Q69" s="23" t="n">
        <x:v>46284</x:v>
      </x:c>
    </x:row>
    <x:row r="70">
      <x:c r="A70" s="22" t="str">
        <x:v>T067</x:v>
      </x:c>
      <x:c r="B70" s="22" t="str">
        <x:v>P7</x:v>
      </x:c>
      <x:c r="C70" s="22" t="str">
        <x:v>Finance</x:v>
      </x:c>
      <x:c r="D70" s="22" t="str">
        <x:v>Financial reversal/cancellation approval and audit flow</x:v>
      </x:c>
      <x:c r="E70" s="23" t="n">
        <x:v>46671</x:v>
      </x:c>
      <x:c r="F70" s="23" t="n">
        <x:v>46682</x:v>
      </x:c>
      <x:c r="G70" s="22" t="n">
        <x:v>12</x:v>
      </x:c>
      <x:c r="H70" s="22" t="str">
        <x:v>Lead Engineer</x:v>
      </x:c>
      <x:c r="I70" s="22" t="str">
        <x:v>Critical</x:v>
      </x:c>
      <x:c r="J70" s="22" t="str">
        <x:v>Not Started</x:v>
      </x:c>
      <x:c r="K70" s="28" t="n">
        <x:v>0</x:v>
      </x:c>
      <x:c r="L70" s="22" t="str">
        <x:v>T062</x:v>
      </x:c>
      <x:c r="M70" s="22" t="str">
        <x:v>School Beta</x:v>
      </x:c>
      <x:c r="N70" s="22" t="str">
        <x:v>No hard delete; reversal trace complete</x:v>
      </x:c>
      <x:c r="O70" s="22" t="str"/>
      <x:c r="P70" s="22" t="str"/>
      <x:c r="Q70" s="23" t="n">
        <x:v>46284</x:v>
      </x:c>
    </x:row>
    <x:row r="71">
      <x:c r="A71" s="22" t="str">
        <x:v>T068</x:v>
      </x:c>
      <x:c r="B71" s="22" t="str">
        <x:v>P7</x:v>
      </x:c>
      <x:c r="C71" s="22" t="str">
        <x:v>Finance</x:v>
      </x:c>
      <x:c r="D71" s="22" t="str">
        <x:v>Monthly/yearly collection and outstanding reports</x:v>
      </x:c>
      <x:c r="E71" s="23" t="n">
        <x:v>46671</x:v>
      </x:c>
      <x:c r="F71" s="23" t="n">
        <x:v>46682</x:v>
      </x:c>
      <x:c r="G71" s="22" t="n">
        <x:v>12</x:v>
      </x:c>
      <x:c r="H71" s="22" t="str">
        <x:v>Lead Engineer</x:v>
      </x:c>
      <x:c r="I71" s="22" t="str">
        <x:v>High</x:v>
      </x:c>
      <x:c r="J71" s="22" t="str">
        <x:v>Not Started</x:v>
      </x:c>
      <x:c r="K71" s="28" t="n">
        <x:v>0</x:v>
      </x:c>
      <x:c r="L71" s="22" t="str">
        <x:v>T058,T062</x:v>
      </x:c>
      <x:c r="M71" s="22" t="str">
        <x:v>School Beta</x:v>
      </x:c>
      <x:c r="N71" s="22" t="str">
        <x:v>Reports reconcile with ledger</x:v>
      </x:c>
      <x:c r="O71" s="22" t="str"/>
      <x:c r="P71" s="22" t="str"/>
      <x:c r="Q71" s="23" t="n">
        <x:v>46284</x:v>
      </x:c>
    </x:row>
    <x:row r="72">
      <x:c r="A72" s="22" t="str">
        <x:v>T069</x:v>
      </x:c>
      <x:c r="B72" s="22" t="str">
        <x:v>P8</x:v>
      </x:c>
      <x:c r="C72" s="22" t="str">
        <x:v>HR</x:v>
      </x:c>
      <x:c r="D72" s="22" t="str">
        <x:v>Employee departments/designations/contracts</x:v>
      </x:c>
      <x:c r="E72" s="23" t="n">
        <x:v>46664</x:v>
      </x:c>
      <x:c r="F72" s="23" t="n">
        <x:v>46682</x:v>
      </x:c>
      <x:c r="G72" s="22" t="n">
        <x:v>19</x:v>
      </x:c>
      <x:c r="H72" s="22" t="str">
        <x:v>Lead Engineer</x:v>
      </x:c>
      <x:c r="I72" s="22" t="str">
        <x:v>High</x:v>
      </x:c>
      <x:c r="J72" s="22" t="str">
        <x:v>Not Started</x:v>
      </x:c>
      <x:c r="K72" s="28" t="n">
        <x:v>0</x:v>
      </x:c>
      <x:c r="L72" s="22" t="str">
        <x:v>T033</x:v>
      </x:c>
      <x:c r="M72" s="22" t="str">
        <x:v>Admin Beta</x:v>
      </x:c>
      <x:c r="N72" s="22" t="str">
        <x:v>Employee structure complete</x:v>
      </x:c>
      <x:c r="O72" s="22" t="str"/>
      <x:c r="P72" s="22" t="str"/>
      <x:c r="Q72" s="23" t="n">
        <x:v>46284</x:v>
      </x:c>
    </x:row>
    <x:row r="73">
      <x:c r="A73" s="22" t="str">
        <x:v>T070</x:v>
      </x:c>
      <x:c r="B73" s="22" t="str">
        <x:v>P8</x:v>
      </x:c>
      <x:c r="C73" s="22" t="str">
        <x:v>HR</x:v>
      </x:c>
      <x:c r="D73" s="22" t="str">
        <x:v>Employee attendance and leave statuses</x:v>
      </x:c>
      <x:c r="E73" s="23" t="n">
        <x:v>46678</x:v>
      </x:c>
      <x:c r="F73" s="23" t="n">
        <x:v>46696</x:v>
      </x:c>
      <x:c r="G73" s="22" t="n">
        <x:v>19</x:v>
      </x:c>
      <x:c r="H73" s="22" t="str">
        <x:v>Lead Engineer</x:v>
      </x:c>
      <x:c r="I73" s="22" t="str">
        <x:v>High</x:v>
      </x:c>
      <x:c r="J73" s="22" t="str">
        <x:v>Not Started</x:v>
      </x:c>
      <x:c r="K73" s="28" t="n">
        <x:v>0</x:v>
      </x:c>
      <x:c r="L73" s="22" t="str">
        <x:v>T069</x:v>
      </x:c>
      <x:c r="M73" s="22" t="str">
        <x:v>Admin Beta</x:v>
      </x:c>
      <x:c r="N73" s="22" t="str">
        <x:v>Attendance states validated</x:v>
      </x:c>
      <x:c r="O73" s="22" t="str"/>
      <x:c r="P73" s="22" t="str"/>
      <x:c r="Q73" s="23" t="n">
        <x:v>46284</x:v>
      </x:c>
    </x:row>
    <x:row r="74">
      <x:c r="A74" s="22" t="str">
        <x:v>T071</x:v>
      </x:c>
      <x:c r="B74" s="22" t="str">
        <x:v>P8</x:v>
      </x:c>
      <x:c r="C74" s="22" t="str">
        <x:v>Leave</x:v>
      </x:c>
      <x:c r="D74" s="22" t="str">
        <x:v>Configurable leave types and approval chains</x:v>
      </x:c>
      <x:c r="E74" s="23" t="n">
        <x:v>46678</x:v>
      </x:c>
      <x:c r="F74" s="23" t="n">
        <x:v>46696</x:v>
      </x:c>
      <x:c r="G74" s="22" t="n">
        <x:v>19</x:v>
      </x:c>
      <x:c r="H74" s="22" t="str">
        <x:v>Lead Engineer</x:v>
      </x:c>
      <x:c r="I74" s="22" t="str">
        <x:v>High</x:v>
      </x:c>
      <x:c r="J74" s="22" t="str">
        <x:v>Not Started</x:v>
      </x:c>
      <x:c r="K74" s="28" t="n">
        <x:v>0</x:v>
      </x:c>
      <x:c r="L74" s="22" t="str">
        <x:v>T069</x:v>
      </x:c>
      <x:c r="M74" s="22" t="str">
        <x:v>Admin Beta</x:v>
      </x:c>
      <x:c r="N74" s="22" t="str">
        <x:v>School-defined approval chain works</x:v>
      </x:c>
      <x:c r="O74" s="22" t="str"/>
      <x:c r="P74" s="22" t="str"/>
      <x:c r="Q74" s="23" t="n">
        <x:v>46284</x:v>
      </x:c>
    </x:row>
    <x:row r="75">
      <x:c r="A75" s="22" t="str">
        <x:v>T072</x:v>
      </x:c>
      <x:c r="B75" s="22" t="str">
        <x:v>P8</x:v>
      </x:c>
      <x:c r="C75" s="22" t="str">
        <x:v>Payroll</x:v>
      </x:c>
      <x:c r="D75" s="22" t="str">
        <x:v>Monthly payroll period and salary components</x:v>
      </x:c>
      <x:c r="E75" s="23" t="n">
        <x:v>46685</x:v>
      </x:c>
      <x:c r="F75" s="23" t="n">
        <x:v>46703</x:v>
      </x:c>
      <x:c r="G75" s="22" t="n">
        <x:v>19</x:v>
      </x:c>
      <x:c r="H75" s="22" t="str">
        <x:v>Lead Engineer</x:v>
      </x:c>
      <x:c r="I75" s="22" t="str">
        <x:v>Critical</x:v>
      </x:c>
      <x:c r="J75" s="22" t="str">
        <x:v>Not Started</x:v>
      </x:c>
      <x:c r="K75" s="28" t="n">
        <x:v>0</x:v>
      </x:c>
      <x:c r="L75" s="22" t="str">
        <x:v>T069</x:v>
      </x:c>
      <x:c r="M75" s="22" t="str">
        <x:v>Admin Beta</x:v>
      </x:c>
      <x:c r="N75" s="22" t="str">
        <x:v>MM-YYYY payroll supported</x:v>
      </x:c>
      <x:c r="O75" s="22" t="str"/>
      <x:c r="P75" s="22" t="str"/>
      <x:c r="Q75" s="23" t="n">
        <x:v>46284</x:v>
      </x:c>
    </x:row>
    <x:row r="76">
      <x:c r="A76" s="22" t="str">
        <x:v>T073</x:v>
      </x:c>
      <x:c r="B76" s="22" t="str">
        <x:v>P8</x:v>
      </x:c>
      <x:c r="C76" s="22" t="str">
        <x:v>Payroll</x:v>
      </x:c>
      <x:c r="D76" s="22" t="str">
        <x:v>Bonus/overtime/manual deduction with reason</x:v>
      </x:c>
      <x:c r="E76" s="23" t="n">
        <x:v>46692</x:v>
      </x:c>
      <x:c r="F76" s="23" t="n">
        <x:v>46703</x:v>
      </x:c>
      <x:c r="G76" s="22" t="n">
        <x:v>12</x:v>
      </x:c>
      <x:c r="H76" s="22" t="str">
        <x:v>Lead Engineer</x:v>
      </x:c>
      <x:c r="I76" s="22" t="str">
        <x:v>High</x:v>
      </x:c>
      <x:c r="J76" s="22" t="str">
        <x:v>Not Started</x:v>
      </x:c>
      <x:c r="K76" s="28" t="n">
        <x:v>0</x:v>
      </x:c>
      <x:c r="L76" s="22" t="str">
        <x:v>T072</x:v>
      </x:c>
      <x:c r="M76" s="22" t="str">
        <x:v>Admin Beta</x:v>
      </x:c>
      <x:c r="N76" s="22" t="str">
        <x:v>Manual adjustments auditable</x:v>
      </x:c>
      <x:c r="O76" s="22" t="str"/>
      <x:c r="P76" s="22" t="str"/>
      <x:c r="Q76" s="23" t="n">
        <x:v>46284</x:v>
      </x:c>
    </x:row>
    <x:row r="77">
      <x:c r="A77" s="22" t="str">
        <x:v>T074</x:v>
      </x:c>
      <x:c r="B77" s="22" t="str">
        <x:v>P8</x:v>
      </x:c>
      <x:c r="C77" s="22" t="str">
        <x:v>Payroll</x:v>
      </x:c>
      <x:c r="D77" s="22" t="str">
        <x:v>Salary change/increment configuration and approvals</x:v>
      </x:c>
      <x:c r="E77" s="23" t="n">
        <x:v>46699</x:v>
      </x:c>
      <x:c r="F77" s="23" t="n">
        <x:v>46710</x:v>
      </x:c>
      <x:c r="G77" s="22" t="n">
        <x:v>12</x:v>
      </x:c>
      <x:c r="H77" s="22" t="str">
        <x:v>Lead Engineer</x:v>
      </x:c>
      <x:c r="I77" s="22" t="str">
        <x:v>High</x:v>
      </x:c>
      <x:c r="J77" s="22" t="str">
        <x:v>Not Started</x:v>
      </x:c>
      <x:c r="K77" s="28" t="n">
        <x:v>0</x:v>
      </x:c>
      <x:c r="L77" s="22" t="str">
        <x:v>T072</x:v>
      </x:c>
      <x:c r="M77" s="22" t="str">
        <x:v>Admin Beta</x:v>
      </x:c>
      <x:c r="N77" s="22" t="str">
        <x:v>Auto/manual increment options supported</x:v>
      </x:c>
      <x:c r="O77" s="22" t="str"/>
      <x:c r="P77" s="22" t="str"/>
      <x:c r="Q77" s="23" t="n">
        <x:v>46284</x:v>
      </x:c>
    </x:row>
    <x:row r="78">
      <x:c r="A78" s="22" t="str">
        <x:v>T075</x:v>
      </x:c>
      <x:c r="B78" s="22" t="str">
        <x:v>P8</x:v>
      </x:c>
      <x:c r="C78" s="22" t="str">
        <x:v>Payroll</x:v>
      </x:c>
      <x:c r="D78" s="22" t="str">
        <x:v>Payroll finalization, lock and payslip generation</x:v>
      </x:c>
      <x:c r="E78" s="23" t="n">
        <x:v>46706</x:v>
      </x:c>
      <x:c r="F78" s="23" t="n">
        <x:v>46717</x:v>
      </x:c>
      <x:c r="G78" s="22" t="n">
        <x:v>12</x:v>
      </x:c>
      <x:c r="H78" s="22" t="str">
        <x:v>Lead Engineer</x:v>
      </x:c>
      <x:c r="I78" s="22" t="str">
        <x:v>Critical</x:v>
      </x:c>
      <x:c r="J78" s="22" t="str">
        <x:v>Not Started</x:v>
      </x:c>
      <x:c r="K78" s="28" t="n">
        <x:v>0</x:v>
      </x:c>
      <x:c r="L78" s="22" t="str">
        <x:v>T072,T073</x:v>
      </x:c>
      <x:c r="M78" s="22" t="str">
        <x:v>Admin Beta</x:v>
      </x:c>
      <x:c r="N78" s="22" t="str">
        <x:v>Finalized payroll locked</x:v>
      </x:c>
      <x:c r="O78" s="22" t="str"/>
      <x:c r="P78" s="22" t="str"/>
      <x:c r="Q78" s="23" t="n">
        <x:v>46284</x:v>
      </x:c>
    </x:row>
    <x:row r="79">
      <x:c r="A79" s="22" t="str">
        <x:v>T076</x:v>
      </x:c>
      <x:c r="B79" s="22" t="str">
        <x:v>P9</x:v>
      </x:c>
      <x:c r="C79" s="22" t="str">
        <x:v>Library</x:v>
      </x:c>
      <x:c r="D79" s="22" t="str">
        <x:v>Book catalog, types, copies and availability</x:v>
      </x:c>
      <x:c r="E79" s="23" t="n">
        <x:v>46699</x:v>
      </x:c>
      <x:c r="F79" s="23" t="n">
        <x:v>46717</x:v>
      </x:c>
      <x:c r="G79" s="22" t="n">
        <x:v>19</x:v>
      </x:c>
      <x:c r="H79" s="22" t="str">
        <x:v>Lead Engineer</x:v>
      </x:c>
      <x:c r="I79" s="22" t="str">
        <x:v>Medium</x:v>
      </x:c>
      <x:c r="J79" s="22" t="str">
        <x:v>Not Started</x:v>
      </x:c>
      <x:c r="K79" s="28" t="n">
        <x:v>0</x:v>
      </x:c>
      <x:c r="L79" s="22" t="str">
        <x:v>T027</x:v>
      </x:c>
      <x:c r="M79" s="22" t="str">
        <x:v>Feature Complete</x:v>
      </x:c>
      <x:c r="N79" s="22" t="str">
        <x:v>Catalog/search/availability works</x:v>
      </x:c>
      <x:c r="O79" s="22" t="str"/>
      <x:c r="P79" s="22" t="str"/>
      <x:c r="Q79" s="23" t="n">
        <x:v>46284</x:v>
      </x:c>
    </x:row>
    <x:row r="80">
      <x:c r="A80" s="22" t="str">
        <x:v>T077</x:v>
      </x:c>
      <x:c r="B80" s="22" t="str">
        <x:v>P9</x:v>
      </x:c>
      <x:c r="C80" s="22" t="str">
        <x:v>Library</x:v>
      </x:c>
      <x:c r="D80" s="22" t="str">
        <x:v>Borrow/return/due/fine/history for students and teachers</x:v>
      </x:c>
      <x:c r="E80" s="23" t="n">
        <x:v>46713</x:v>
      </x:c>
      <x:c r="F80" s="23" t="n">
        <x:v>46731</x:v>
      </x:c>
      <x:c r="G80" s="22" t="n">
        <x:v>19</x:v>
      </x:c>
      <x:c r="H80" s="22" t="str">
        <x:v>Lead Engineer</x:v>
      </x:c>
      <x:c r="I80" s="22" t="str">
        <x:v>Medium</x:v>
      </x:c>
      <x:c r="J80" s="22" t="str">
        <x:v>Not Started</x:v>
      </x:c>
      <x:c r="K80" s="28" t="n">
        <x:v>0</x:v>
      </x:c>
      <x:c r="L80" s="22" t="str">
        <x:v>T076</x:v>
      </x:c>
      <x:c r="M80" s="22" t="str">
        <x:v>Feature Complete</x:v>
      </x:c>
      <x:c r="N80" s="22" t="str">
        <x:v>Borrow lifecycle auditable</x:v>
      </x:c>
      <x:c r="O80" s="22" t="str"/>
      <x:c r="P80" s="22" t="str"/>
      <x:c r="Q80" s="23" t="n">
        <x:v>46284</x:v>
      </x:c>
    </x:row>
    <x:row r="81">
      <x:c r="A81" s="22" t="str">
        <x:v>T078</x:v>
      </x:c>
      <x:c r="B81" s="22" t="str">
        <x:v>P9</x:v>
      </x:c>
      <x:c r="C81" s="22" t="str">
        <x:v>Library</x:v>
      </x:c>
      <x:c r="D81" s="22" t="str">
        <x:v>Book purchase/payment/status flow</x:v>
      </x:c>
      <x:c r="E81" s="23" t="n">
        <x:v>46727</x:v>
      </x:c>
      <x:c r="F81" s="23" t="n">
        <x:v>46738</x:v>
      </x:c>
      <x:c r="G81" s="22" t="n">
        <x:v>12</x:v>
      </x:c>
      <x:c r="H81" s="22" t="str">
        <x:v>Lead Engineer</x:v>
      </x:c>
      <x:c r="I81" s="22" t="str">
        <x:v>Low</x:v>
      </x:c>
      <x:c r="J81" s="22" t="str">
        <x:v>Not Started</x:v>
      </x:c>
      <x:c r="K81" s="28" t="n">
        <x:v>0</x:v>
      </x:c>
      <x:c r="L81" s="22" t="str">
        <x:v>T076</x:v>
      </x:c>
      <x:c r="M81" s="22" t="str">
        <x:v>Feature Complete</x:v>
      </x:c>
      <x:c r="N81" s="22" t="str">
        <x:v>Purchase flow works</x:v>
      </x:c>
      <x:c r="O81" s="22" t="str"/>
      <x:c r="P81" s="22" t="str"/>
      <x:c r="Q81" s="23" t="n">
        <x:v>46284</x:v>
      </x:c>
    </x:row>
    <x:row r="82">
      <x:c r="A82" s="22" t="str">
        <x:v>T079</x:v>
      </x:c>
      <x:c r="B82" s="22" t="str">
        <x:v>P9</x:v>
      </x:c>
      <x:c r="C82" s="22" t="str">
        <x:v>Transport</x:v>
      </x:c>
      <x:c r="D82" s="22" t="str">
        <x:v>Vehicles, drivers, routes, stops and student assignment</x:v>
      </x:c>
      <x:c r="E82" s="23" t="n">
        <x:v>46706</x:v>
      </x:c>
      <x:c r="F82" s="23" t="n">
        <x:v>46731</x:v>
      </x:c>
      <x:c r="G82" s="22" t="n">
        <x:v>26</x:v>
      </x:c>
      <x:c r="H82" s="22" t="str">
        <x:v>Lead Engineer</x:v>
      </x:c>
      <x:c r="I82" s="22" t="str">
        <x:v>Medium</x:v>
      </x:c>
      <x:c r="J82" s="22" t="str">
        <x:v>Not Started</x:v>
      </x:c>
      <x:c r="K82" s="28" t="n">
        <x:v>0</x:v>
      </x:c>
      <x:c r="L82" s="22" t="str">
        <x:v>T027,T033</x:v>
      </x:c>
      <x:c r="M82" s="22" t="str">
        <x:v>Feature Complete</x:v>
      </x:c>
      <x:c r="N82" s="22" t="str">
        <x:v>Student-route assignment works</x:v>
      </x:c>
      <x:c r="O82" s="22" t="str"/>
      <x:c r="P82" s="22" t="str"/>
      <x:c r="Q82" s="23" t="n">
        <x:v>46284</x:v>
      </x:c>
    </x:row>
    <x:row r="83">
      <x:c r="A83" s="22" t="str">
        <x:v>T080</x:v>
      </x:c>
      <x:c r="B83" s="22" t="str">
        <x:v>P9</x:v>
      </x:c>
      <x:c r="C83" s="22" t="str">
        <x:v>Transport</x:v>
      </x:c>
      <x:c r="D83" s="22" t="str">
        <x:v>Pickup/drop-off, transport fee link and bus attendance</x:v>
      </x:c>
      <x:c r="E83" s="23" t="n">
        <x:v>46727</x:v>
      </x:c>
      <x:c r="F83" s="23" t="n">
        <x:v>46745</x:v>
      </x:c>
      <x:c r="G83" s="22" t="n">
        <x:v>19</x:v>
      </x:c>
      <x:c r="H83" s="22" t="str">
        <x:v>Lead Engineer</x:v>
      </x:c>
      <x:c r="I83" s="22" t="str">
        <x:v>Medium</x:v>
      </x:c>
      <x:c r="J83" s="22" t="str">
        <x:v>Not Started</x:v>
      </x:c>
      <x:c r="K83" s="28" t="n">
        <x:v>0</x:v>
      </x:c>
      <x:c r="L83" s="22" t="str">
        <x:v>T079,T057</x:v>
      </x:c>
      <x:c r="M83" s="22" t="str">
        <x:v>Feature Complete</x:v>
      </x:c>
      <x:c r="N83" s="22" t="str">
        <x:v>Transport fee/attendance linked</x:v>
      </x:c>
      <x:c r="O83" s="22" t="str"/>
      <x:c r="P83" s="22" t="str"/>
      <x:c r="Q83" s="23" t="n">
        <x:v>46284</x:v>
      </x:c>
    </x:row>
    <x:row r="84">
      <x:c r="A84" s="22" t="str">
        <x:v>T081</x:v>
      </x:c>
      <x:c r="B84" s="22" t="str">
        <x:v>P9</x:v>
      </x:c>
      <x:c r="C84" s="22" t="str">
        <x:v>Hostel</x:v>
      </x:c>
      <x:c r="D84" s="22" t="str">
        <x:v>Hostel/building/floor/room/bed model</x:v>
      </x:c>
      <x:c r="E84" s="23" t="n">
        <x:v>46720</x:v>
      </x:c>
      <x:c r="F84" s="23" t="n">
        <x:v>46738</x:v>
      </x:c>
      <x:c r="G84" s="22" t="n">
        <x:v>19</x:v>
      </x:c>
      <x:c r="H84" s="22" t="str">
        <x:v>Lead Engineer</x:v>
      </x:c>
      <x:c r="I84" s="22" t="str">
        <x:v>Medium</x:v>
      </x:c>
      <x:c r="J84" s="22" t="str">
        <x:v>Not Started</x:v>
      </x:c>
      <x:c r="K84" s="28" t="n">
        <x:v>0</x:v>
      </x:c>
      <x:c r="L84" s="22" t="str">
        <x:v>T027</x:v>
      </x:c>
      <x:c r="M84" s="22" t="str">
        <x:v>Feature Complete</x:v>
      </x:c>
      <x:c r="N84" s="22" t="str">
        <x:v>Capacity/allocation structure works</x:v>
      </x:c>
      <x:c r="O84" s="22" t="str"/>
      <x:c r="P84" s="22" t="str"/>
      <x:c r="Q84" s="23" t="n">
        <x:v>46284</x:v>
      </x:c>
    </x:row>
    <x:row r="85">
      <x:c r="A85" s="22" t="str">
        <x:v>T082</x:v>
      </x:c>
      <x:c r="B85" s="22" t="str">
        <x:v>P9</x:v>
      </x:c>
      <x:c r="C85" s="22" t="str">
        <x:v>Hostel</x:v>
      </x:c>
      <x:c r="D85" s="22" t="str">
        <x:v>Student allocation, check-in/out, attendance and visitors</x:v>
      </x:c>
      <x:c r="E85" s="23" t="n">
        <x:v>46734</x:v>
      </x:c>
      <x:c r="F85" s="23" t="n">
        <x:v>46759</x:v>
      </x:c>
      <x:c r="G85" s="22" t="n">
        <x:v>26</x:v>
      </x:c>
      <x:c r="H85" s="22" t="str">
        <x:v>Lead Engineer</x:v>
      </x:c>
      <x:c r="I85" s="22" t="str">
        <x:v>Medium</x:v>
      </x:c>
      <x:c r="J85" s="22" t="str">
        <x:v>Not Started</x:v>
      </x:c>
      <x:c r="K85" s="28" t="n">
        <x:v>0</x:v>
      </x:c>
      <x:c r="L85" s="22" t="str">
        <x:v>T081</x:v>
      </x:c>
      <x:c r="M85" s="22" t="str">
        <x:v>Feature Complete</x:v>
      </x:c>
      <x:c r="N85" s="22" t="str">
        <x:v>Hostel lifecycle works</x:v>
      </x:c>
      <x:c r="O85" s="22" t="str"/>
      <x:c r="P85" s="22" t="str"/>
      <x:c r="Q85" s="23" t="n">
        <x:v>46284</x:v>
      </x:c>
    </x:row>
    <x:row r="86">
      <x:c r="A86" s="22" t="str">
        <x:v>T083</x:v>
      </x:c>
      <x:c r="B86" s="22" t="str">
        <x:v>P9</x:v>
      </x:c>
      <x:c r="C86" s="22" t="str">
        <x:v>Medical</x:v>
      </x:c>
      <x:c r="D86" s="22" t="str">
        <x:v>Medical profile, allergies, vaccinations and medication alerts</x:v>
      </x:c>
      <x:c r="E86" s="23" t="n">
        <x:v>46734</x:v>
      </x:c>
      <x:c r="F86" s="23" t="n">
        <x:v>46759</x:v>
      </x:c>
      <x:c r="G86" s="22" t="n">
        <x:v>26</x:v>
      </x:c>
      <x:c r="H86" s="22" t="str">
        <x:v>Lead Engineer</x:v>
      </x:c>
      <x:c r="I86" s="22" t="str">
        <x:v>High</x:v>
      </x:c>
      <x:c r="J86" s="22" t="str">
        <x:v>Not Started</x:v>
      </x:c>
      <x:c r="K86" s="28" t="n">
        <x:v>0</x:v>
      </x:c>
      <x:c r="L86" s="22" t="str">
        <x:v>T022</x:v>
      </x:c>
      <x:c r="M86" s="22" t="str">
        <x:v>Feature Complete</x:v>
      </x:c>
      <x:c r="N86" s="22" t="str">
        <x:v>Sensitive profile scoped</x:v>
      </x:c>
      <x:c r="O86" s="22" t="str"/>
      <x:c r="P86" s="22" t="str"/>
      <x:c r="Q86" s="23" t="n">
        <x:v>46284</x:v>
      </x:c>
    </x:row>
    <x:row r="87">
      <x:c r="A87" s="22" t="str">
        <x:v>T084</x:v>
      </x:c>
      <x:c r="B87" s="22" t="str">
        <x:v>P9</x:v>
      </x:c>
      <x:c r="C87" s="22" t="str">
        <x:v>Medical</x:v>
      </x:c>
      <x:c r="D87" s="22" t="str">
        <x:v>Nurse visits/incidents with strict permissions</x:v>
      </x:c>
      <x:c r="E87" s="23" t="n">
        <x:v>46755</x:v>
      </x:c>
      <x:c r="F87" s="23" t="n">
        <x:v>46766</x:v>
      </x:c>
      <x:c r="G87" s="22" t="n">
        <x:v>12</x:v>
      </x:c>
      <x:c r="H87" s="22" t="str">
        <x:v>Lead Engineer</x:v>
      </x:c>
      <x:c r="I87" s="22" t="str">
        <x:v>High</x:v>
      </x:c>
      <x:c r="J87" s="22" t="str">
        <x:v>Not Started</x:v>
      </x:c>
      <x:c r="K87" s="28" t="n">
        <x:v>0</x:v>
      </x:c>
      <x:c r="L87" s="22" t="str">
        <x:v>T083,T017</x:v>
      </x:c>
      <x:c r="M87" s="22" t="str">
        <x:v>Feature Complete</x:v>
      </x:c>
      <x:c r="N87" s="22" t="str">
        <x:v>Unauthorized roles blocked</x:v>
      </x:c>
      <x:c r="O87" s="22" t="str"/>
      <x:c r="P87" s="22" t="str"/>
      <x:c r="Q87" s="23" t="n">
        <x:v>46284</x:v>
      </x:c>
    </x:row>
    <x:row r="88">
      <x:c r="A88" s="22" t="str">
        <x:v>T085</x:v>
      </x:c>
      <x:c r="B88" s="22" t="str">
        <x:v>P10</x:v>
      </x:c>
      <x:c r="C88" s="22" t="str">
        <x:v>Offline</x:v>
      </x:c>
      <x:c r="D88" s="22" t="str">
        <x:v>Offline data model and encrypted local cache</x:v>
      </x:c>
      <x:c r="E88" s="23" t="n">
        <x:v>46734</x:v>
      </x:c>
      <x:c r="F88" s="23" t="n">
        <x:v>46759</x:v>
      </x:c>
      <x:c r="G88" s="22" t="n">
        <x:v>26</x:v>
      </x:c>
      <x:c r="H88" s="22" t="str">
        <x:v>Lead Engineer / QA</x:v>
      </x:c>
      <x:c r="I88" s="22" t="str">
        <x:v>Critical</x:v>
      </x:c>
      <x:c r="J88" s="22" t="str">
        <x:v>Not Started</x:v>
      </x:c>
      <x:c r="K88" s="28" t="n">
        <x:v>0</x:v>
      </x:c>
      <x:c r="L88" s="22" t="str">
        <x:v>T040,T061</x:v>
      </x:c>
      <x:c r="M88" s="22" t="str">
        <x:v>Resilience Gate</x:v>
      </x:c>
      <x:c r="N88" s="22" t="str">
        <x:v>Local data encrypted</x:v>
      </x:c>
      <x:c r="O88" s="22" t="str"/>
      <x:c r="P88" s="22" t="str"/>
      <x:c r="Q88" s="23" t="n">
        <x:v>46284</x:v>
      </x:c>
    </x:row>
    <x:row r="89">
      <x:c r="A89" s="22" t="str">
        <x:v>T086</x:v>
      </x:c>
      <x:c r="B89" s="22" t="str">
        <x:v>P10</x:v>
      </x:c>
      <x:c r="C89" s="22" t="str">
        <x:v>Offline</x:v>
      </x:c>
      <x:c r="D89" s="22" t="str">
        <x:v>Change queue, sync metadata and idempotency strategy</x:v>
      </x:c>
      <x:c r="E89" s="23" t="n">
        <x:v>46755</x:v>
      </x:c>
      <x:c r="F89" s="23" t="n">
        <x:v>46773</x:v>
      </x:c>
      <x:c r="G89" s="22" t="n">
        <x:v>19</x:v>
      </x:c>
      <x:c r="H89" s="22" t="str">
        <x:v>Lead Engineer / QA</x:v>
      </x:c>
      <x:c r="I89" s="22" t="str">
        <x:v>Critical</x:v>
      </x:c>
      <x:c r="J89" s="22" t="str">
        <x:v>Not Started</x:v>
      </x:c>
      <x:c r="K89" s="28" t="n">
        <x:v>0</x:v>
      </x:c>
      <x:c r="L89" s="22" t="str">
        <x:v>T085</x:v>
      </x:c>
      <x:c r="M89" s="22" t="str">
        <x:v>Resilience Gate</x:v>
      </x:c>
      <x:c r="N89" s="22" t="str">
        <x:v>Duplicate sync safe</x:v>
      </x:c>
      <x:c r="O89" s="22" t="str"/>
      <x:c r="P89" s="22" t="str"/>
      <x:c r="Q89" s="23" t="n">
        <x:v>46284</x:v>
      </x:c>
    </x:row>
    <x:row r="90">
      <x:c r="A90" s="22" t="str">
        <x:v>T087</x:v>
      </x:c>
      <x:c r="B90" s="22" t="str">
        <x:v>P10</x:v>
      </x:c>
      <x:c r="C90" s="22" t="str">
        <x:v>Offline</x:v>
      </x:c>
      <x:c r="D90" s="22" t="str">
        <x:v>Conflict detection and administrator resolution</x:v>
      </x:c>
      <x:c r="E90" s="23" t="n">
        <x:v>46769</x:v>
      </x:c>
      <x:c r="F90" s="23" t="n">
        <x:v>46787</x:v>
      </x:c>
      <x:c r="G90" s="22" t="n">
        <x:v>19</x:v>
      </x:c>
      <x:c r="H90" s="22" t="str">
        <x:v>Lead Engineer / QA</x:v>
      </x:c>
      <x:c r="I90" s="22" t="str">
        <x:v>Critical</x:v>
      </x:c>
      <x:c r="J90" s="22" t="str">
        <x:v>Not Started</x:v>
      </x:c>
      <x:c r="K90" s="28" t="n">
        <x:v>0</x:v>
      </x:c>
      <x:c r="L90" s="22" t="str">
        <x:v>T086</x:v>
      </x:c>
      <x:c r="M90" s="22" t="str">
        <x:v>Resilience Gate</x:v>
      </x:c>
      <x:c r="N90" s="22" t="str">
        <x:v>Critical conflicts never silently overwritten</x:v>
      </x:c>
      <x:c r="O90" s="22" t="str"/>
      <x:c r="P90" s="22" t="str"/>
      <x:c r="Q90" s="23" t="n">
        <x:v>46284</x:v>
      </x:c>
    </x:row>
    <x:row r="91">
      <x:c r="A91" s="22" t="str">
        <x:v>T088</x:v>
      </x:c>
      <x:c r="B91" s="22" t="str">
        <x:v>P10</x:v>
      </x:c>
      <x:c r="C91" s="22" t="str">
        <x:v>Backup</x:v>
      </x:c>
      <x:c r="D91" s="22" t="str">
        <x:v>Database backup/restore runbook</x:v>
      </x:c>
      <x:c r="E91" s="23" t="n">
        <x:v>46741</x:v>
      </x:c>
      <x:c r="F91" s="23" t="n">
        <x:v>46766</x:v>
      </x:c>
      <x:c r="G91" s="22" t="n">
        <x:v>26</x:v>
      </x:c>
      <x:c r="H91" s="22" t="str">
        <x:v>Lead Engineer / QA</x:v>
      </x:c>
      <x:c r="I91" s="22" t="str">
        <x:v>High</x:v>
      </x:c>
      <x:c r="J91" s="22" t="str">
        <x:v>Not Started</x:v>
      </x:c>
      <x:c r="K91" s="28" t="n">
        <x:v>0</x:v>
      </x:c>
      <x:c r="L91" s="22" t="str">
        <x:v>T012</x:v>
      </x:c>
      <x:c r="M91" s="22" t="str">
        <x:v>Resilience Gate</x:v>
      </x:c>
      <x:c r="N91" s="22" t="str">
        <x:v>Restore rehearsal passes</x:v>
      </x:c>
      <x:c r="O91" s="22" t="str"/>
      <x:c r="P91" s="22" t="str"/>
      <x:c r="Q91" s="23" t="n">
        <x:v>46284</x:v>
      </x:c>
    </x:row>
    <x:row r="92">
      <x:c r="A92" s="22" t="str">
        <x:v>T089</x:v>
      </x:c>
      <x:c r="B92" s="22" t="str">
        <x:v>P10</x:v>
      </x:c>
      <x:c r="C92" s="22" t="str">
        <x:v>Backup</x:v>
      </x:c>
      <x:c r="D92" s="22" t="str">
        <x:v>Configuration export/import package</x:v>
      </x:c>
      <x:c r="E92" s="23" t="n">
        <x:v>46755</x:v>
      </x:c>
      <x:c r="F92" s="23" t="n">
        <x:v>46773</x:v>
      </x:c>
      <x:c r="G92" s="22" t="n">
        <x:v>19</x:v>
      </x:c>
      <x:c r="H92" s="22" t="str">
        <x:v>Lead Engineer / QA</x:v>
      </x:c>
      <x:c r="I92" s="22" t="str">
        <x:v>High</x:v>
      </x:c>
      <x:c r="J92" s="22" t="str">
        <x:v>Not Started</x:v>
      </x:c>
      <x:c r="K92" s="28" t="n">
        <x:v>0</x:v>
      </x:c>
      <x:c r="L92" s="22" t="str">
        <x:v>T088</x:v>
      </x:c>
      <x:c r="M92" s="22" t="str">
        <x:v>Resilience Gate</x:v>
      </x:c>
      <x:c r="N92" s="22" t="str">
        <x:v>School config portable</x:v>
      </x:c>
      <x:c r="O92" s="22" t="str"/>
      <x:c r="P92" s="22" t="str"/>
      <x:c r="Q92" s="23" t="n">
        <x:v>46284</x:v>
      </x:c>
    </x:row>
    <x:row r="93">
      <x:c r="A93" s="22" t="str">
        <x:v>T090</x:v>
      </x:c>
      <x:c r="B93" s="22" t="str">
        <x:v>P10</x:v>
      </x:c>
      <x:c r="C93" s="22" t="str">
        <x:v>Deployment</x:v>
      </x:c>
      <x:c r="D93" s="22" t="str">
        <x:v>Fresh-school deployment rehearsal from zero</x:v>
      </x:c>
      <x:c r="E93" s="23" t="n">
        <x:v>46769</x:v>
      </x:c>
      <x:c r="F93" s="23" t="n">
        <x:v>46787</x:v>
      </x:c>
      <x:c r="G93" s="22" t="n">
        <x:v>19</x:v>
      </x:c>
      <x:c r="H93" s="22" t="str">
        <x:v>Lead Engineer / QA</x:v>
      </x:c>
      <x:c r="I93" s="22" t="str">
        <x:v>Critical</x:v>
      </x:c>
      <x:c r="J93" s="22" t="str">
        <x:v>Not Started</x:v>
      </x:c>
      <x:c r="K93" s="28" t="n">
        <x:v>0</x:v>
      </x:c>
      <x:c r="L93" s="22" t="str">
        <x:v>T089,T012</x:v>
      </x:c>
      <x:c r="M93" s="22" t="str">
        <x:v>Resilience Gate</x:v>
      </x:c>
      <x:c r="N93" s="22" t="str">
        <x:v>New project provisioned from documented steps</x:v>
      </x:c>
      <x:c r="O93" s="22" t="str"/>
      <x:c r="P93" s="22" t="str"/>
      <x:c r="Q93" s="23" t="n">
        <x:v>46284</x:v>
      </x:c>
    </x:row>
    <x:row r="94">
      <x:c r="A94" s="22" t="str">
        <x:v>T091</x:v>
      </x:c>
      <x:c r="B94" s="22" t="str">
        <x:v>P10</x:v>
      </x:c>
      <x:c r="C94" s="22" t="str">
        <x:v>Security</x:v>
      </x:c>
      <x:c r="D94" s="22" t="str">
        <x:v>Storage/RLS/secret/security regression tests</x:v>
      </x:c>
      <x:c r="E94" s="23" t="n">
        <x:v>46783</x:v>
      </x:c>
      <x:c r="F94" s="23" t="n">
        <x:v>46794</x:v>
      </x:c>
      <x:c r="G94" s="22" t="n">
        <x:v>12</x:v>
      </x:c>
      <x:c r="H94" s="22" t="str">
        <x:v>Lead Engineer / QA</x:v>
      </x:c>
      <x:c r="I94" s="22" t="str">
        <x:v>Critical</x:v>
      </x:c>
      <x:c r="J94" s="22" t="str">
        <x:v>Not Started</x:v>
      </x:c>
      <x:c r="K94" s="28" t="n">
        <x:v>0</x:v>
      </x:c>
      <x:c r="L94" s="22" t="str">
        <x:v>T087</x:v>
      </x:c>
      <x:c r="M94" s="22" t="str">
        <x:v>Resilience Gate</x:v>
      </x:c>
      <x:c r="N94" s="22" t="str">
        <x:v>Security regression suite passes</x:v>
      </x:c>
      <x:c r="O94" s="22" t="str"/>
      <x:c r="P94" s="22" t="str"/>
      <x:c r="Q94" s="23" t="n">
        <x:v>46284</x:v>
      </x:c>
    </x:row>
    <x:row r="95">
      <x:c r="A95" s="22" t="str">
        <x:v>T092</x:v>
      </x:c>
      <x:c r="B95" s="22" t="str">
        <x:v>P11</x:v>
      </x:c>
      <x:c r="C95" s="22" t="str">
        <x:v>Analytics</x:v>
      </x:c>
      <x:c r="D95" s="22" t="str">
        <x:v>Role dashboards and KPI query layer</x:v>
      </x:c>
      <x:c r="E95" s="23" t="n">
        <x:v>46769</x:v>
      </x:c>
      <x:c r="F95" s="23" t="n">
        <x:v>46787</x:v>
      </x:c>
      <x:c r="G95" s="22" t="n">
        <x:v>19</x:v>
      </x:c>
      <x:c r="H95" s="22" t="str">
        <x:v>Lead Engineer</x:v>
      </x:c>
      <x:c r="I95" s="22" t="str">
        <x:v>High</x:v>
      </x:c>
      <x:c r="J95" s="22" t="str">
        <x:v>Not Started</x:v>
      </x:c>
      <x:c r="K95" s="28" t="n">
        <x:v>0</x:v>
      </x:c>
      <x:c r="L95" s="22" t="str">
        <x:v>T053,T068,T074</x:v>
      </x:c>
      <x:c r="M95" s="22" t="str">
        <x:v>Intelligence RC</x:v>
      </x:c>
      <x:c r="N95" s="22" t="str">
        <x:v>Role dashboards return authorized data</x:v>
      </x:c>
      <x:c r="O95" s="22" t="str"/>
      <x:c r="P95" s="22" t="str"/>
      <x:c r="Q95" s="23" t="n">
        <x:v>46284</x:v>
      </x:c>
    </x:row>
    <x:row r="96">
      <x:c r="A96" s="22" t="str">
        <x:v>T093</x:v>
      </x:c>
      <x:c r="B96" s="22" t="str">
        <x:v>P11</x:v>
      </x:c>
      <x:c r="C96" s="22" t="str">
        <x:v>Reports</x:v>
      </x:c>
      <x:c r="D96" s="22" t="str">
        <x:v>Permission-aware reporting/export framework</x:v>
      </x:c>
      <x:c r="E96" s="23" t="n">
        <x:v>46783</x:v>
      </x:c>
      <x:c r="F96" s="23" t="n">
        <x:v>46801</x:v>
      </x:c>
      <x:c r="G96" s="22" t="n">
        <x:v>19</x:v>
      </x:c>
      <x:c r="H96" s="22" t="str">
        <x:v>Lead Engineer</x:v>
      </x:c>
      <x:c r="I96" s="22" t="str">
        <x:v>High</x:v>
      </x:c>
      <x:c r="J96" s="22" t="str">
        <x:v>Not Started</x:v>
      </x:c>
      <x:c r="K96" s="28" t="n">
        <x:v>0</x:v>
      </x:c>
      <x:c r="L96" s="22" t="str">
        <x:v>T091</x:v>
      </x:c>
      <x:c r="M96" s="22" t="str">
        <x:v>Intelligence RC</x:v>
      </x:c>
      <x:c r="N96" s="22" t="str">
        <x:v>Exports respect permissions</x:v>
      </x:c>
      <x:c r="O96" s="22" t="str"/>
      <x:c r="P96" s="22" t="str"/>
      <x:c r="Q96" s="23" t="n">
        <x:v>46284</x:v>
      </x:c>
    </x:row>
    <x:row r="97">
      <x:c r="A97" s="22" t="str">
        <x:v>T094</x:v>
      </x:c>
      <x:c r="B97" s="22" t="str">
        <x:v>P11</x:v>
      </x:c>
      <x:c r="C97" s="22" t="str">
        <x:v>Search</x:v>
      </x:c>
      <x:c r="D97" s="22" t="str">
        <x:v>Global permission-aware search</x:v>
      </x:c>
      <x:c r="E97" s="23" t="n">
        <x:v>46790</x:v>
      </x:c>
      <x:c r="F97" s="23" t="n">
        <x:v>46808</x:v>
      </x:c>
      <x:c r="G97" s="22" t="n">
        <x:v>19</x:v>
      </x:c>
      <x:c r="H97" s="22" t="str">
        <x:v>Lead Engineer</x:v>
      </x:c>
      <x:c r="I97" s="22" t="str">
        <x:v>High</x:v>
      </x:c>
      <x:c r="J97" s="22" t="str">
        <x:v>Not Started</x:v>
      </x:c>
      <x:c r="K97" s="28" t="n">
        <x:v>0</x:v>
      </x:c>
      <x:c r="L97" s="22" t="str">
        <x:v>T017,T027,T033</x:v>
      </x:c>
      <x:c r="M97" s="22" t="str">
        <x:v>Intelligence RC</x:v>
      </x:c>
      <x:c r="N97" s="22" t="str">
        <x:v>Parent/teacher cannot search unauthorized students</x:v>
      </x:c>
      <x:c r="O97" s="22" t="str"/>
      <x:c r="P97" s="22" t="str"/>
      <x:c r="Q97" s="23" t="n">
        <x:v>46284</x:v>
      </x:c>
    </x:row>
    <x:row r="98">
      <x:c r="A98" s="22" t="str">
        <x:v>T095</x:v>
      </x:c>
      <x:c r="B98" s="22" t="str">
        <x:v>P11</x:v>
      </x:c>
      <x:c r="C98" s="22" t="str">
        <x:v>Automation</x:v>
      </x:c>
      <x:c r="D98" s="22" t="str">
        <x:v>Scheduled/event-triggered automation engine</x:v>
      </x:c>
      <x:c r="E98" s="23" t="n">
        <x:v>46783</x:v>
      </x:c>
      <x:c r="F98" s="23" t="n">
        <x:v>46808</x:v>
      </x:c>
      <x:c r="G98" s="22" t="n">
        <x:v>26</x:v>
      </x:c>
      <x:c r="H98" s="22" t="str">
        <x:v>Lead Engineer</x:v>
      </x:c>
      <x:c r="I98" s="22" t="str">
        <x:v>High</x:v>
      </x:c>
      <x:c r="J98" s="22" t="str">
        <x:v>Not Started</x:v>
      </x:c>
      <x:c r="K98" s="28" t="n">
        <x:v>0</x:v>
      </x:c>
      <x:c r="L98" s="22" t="str">
        <x:v>T046,T062</x:v>
      </x:c>
      <x:c r="M98" s="22" t="str">
        <x:v>Intelligence RC</x:v>
      </x:c>
      <x:c r="N98" s="22" t="str">
        <x:v>Immediate/scheduled/event triggers work</x:v>
      </x:c>
      <x:c r="O98" s="22" t="str"/>
      <x:c r="P98" s="22" t="str"/>
      <x:c r="Q98" s="23" t="n">
        <x:v>46284</x:v>
      </x:c>
    </x:row>
    <x:row r="99">
      <x:c r="A99" s="22" t="str">
        <x:v>T096</x:v>
      </x:c>
      <x:c r="B99" s="22" t="str">
        <x:v>P11</x:v>
      </x:c>
      <x:c r="C99" s="22" t="str">
        <x:v>AI</x:v>
      </x:c>
      <x:c r="D99" s="22" t="str">
        <x:v>AI service layer and permission enforcement</x:v>
      </x:c>
      <x:c r="E99" s="23" t="n">
        <x:v>46797</x:v>
      </x:c>
      <x:c r="F99" s="23" t="n">
        <x:v>46815</x:v>
      </x:c>
      <x:c r="G99" s="22" t="n">
        <x:v>19</x:v>
      </x:c>
      <x:c r="H99" s="22" t="str">
        <x:v>Lead Engineer</x:v>
      </x:c>
      <x:c r="I99" s="22" t="str">
        <x:v>Critical</x:v>
      </x:c>
      <x:c r="J99" s="22" t="str">
        <x:v>Not Started</x:v>
      </x:c>
      <x:c r="K99" s="28" t="n">
        <x:v>0</x:v>
      </x:c>
      <x:c r="L99" s="22" t="str">
        <x:v>T017,T092</x:v>
      </x:c>
      <x:c r="M99" s="22" t="str">
        <x:v>Intelligence RC</x:v>
      </x:c>
      <x:c r="N99" s="22" t="str">
        <x:v>AI authorization tests pass</x:v>
      </x:c>
      <x:c r="O99" s="22" t="str"/>
      <x:c r="P99" s="22" t="str"/>
      <x:c r="Q99" s="23" t="n">
        <x:v>46284</x:v>
      </x:c>
    </x:row>
    <x:row r="100">
      <x:c r="A100" s="22" t="str">
        <x:v>T097</x:v>
      </x:c>
      <x:c r="B100" s="22" t="str">
        <x:v>P11</x:v>
      </x:c>
      <x:c r="C100" s="22" t="str">
        <x:v>AI</x:v>
      </x:c>
      <x:c r="D100" s="22" t="str">
        <x:v>Teacher assistant / question generator</x:v>
      </x:c>
      <x:c r="E100" s="23" t="n">
        <x:v>46804</x:v>
      </x:c>
      <x:c r="F100" s="23" t="n">
        <x:v>46822</x:v>
      </x:c>
      <x:c r="G100" s="22" t="n">
        <x:v>19</x:v>
      </x:c>
      <x:c r="H100" s="22" t="str">
        <x:v>Lead Engineer</x:v>
      </x:c>
      <x:c r="I100" s="22" t="str">
        <x:v>Medium</x:v>
      </x:c>
      <x:c r="J100" s="22" t="str">
        <x:v>Not Started</x:v>
      </x:c>
      <x:c r="K100" s="28" t="n">
        <x:v>0</x:v>
      </x:c>
      <x:c r="L100" s="22" t="str">
        <x:v>T095,T031</x:v>
      </x:c>
      <x:c r="M100" s="22" t="str">
        <x:v>Intelligence RC</x:v>
      </x:c>
      <x:c r="N100" s="22" t="str">
        <x:v>Teacher tools operate in assigned scope</x:v>
      </x:c>
      <x:c r="O100" s="22" t="str"/>
      <x:c r="P100" s="22" t="str"/>
      <x:c r="Q100" s="23" t="n">
        <x:v>46284</x:v>
      </x:c>
    </x:row>
    <x:row r="101">
      <x:c r="A101" s="22" t="str">
        <x:v>T098</x:v>
      </x:c>
      <x:c r="B101" s="22" t="str">
        <x:v>P11</x:v>
      </x:c>
      <x:c r="C101" s="22" t="str">
        <x:v>AI</x:v>
      </x:c>
      <x:c r="D101" s="22" t="str">
        <x:v>Student tutor / homework assistant</x:v>
      </x:c>
      <x:c r="E101" s="23" t="n">
        <x:v>46804</x:v>
      </x:c>
      <x:c r="F101" s="23" t="n">
        <x:v>46822</x:v>
      </x:c>
      <x:c r="G101" s="22" t="n">
        <x:v>19</x:v>
      </x:c>
      <x:c r="H101" s="22" t="str">
        <x:v>Lead Engineer</x:v>
      </x:c>
      <x:c r="I101" s="22" t="str">
        <x:v>Medium</x:v>
      </x:c>
      <x:c r="J101" s="22" t="str">
        <x:v>Not Started</x:v>
      </x:c>
      <x:c r="K101" s="28" t="n">
        <x:v>0</x:v>
      </x:c>
      <x:c r="L101" s="22" t="str">
        <x:v>T095,T044</x:v>
      </x:c>
      <x:c r="M101" s="22" t="str">
        <x:v>Intelligence RC</x:v>
      </x:c>
      <x:c r="N101" s="22" t="str">
        <x:v>Student tutor scoped to student context</x:v>
      </x:c>
      <x:c r="O101" s="22" t="str"/>
      <x:c r="P101" s="22" t="str"/>
      <x:c r="Q101" s="23" t="n">
        <x:v>46284</x:v>
      </x:c>
    </x:row>
    <x:row r="102">
      <x:c r="A102" s="22" t="str">
        <x:v>T099</x:v>
      </x:c>
      <x:c r="B102" s="22" t="str">
        <x:v>P11</x:v>
      </x:c>
      <x:c r="C102" s="22" t="str">
        <x:v>AI</x:v>
      </x:c>
      <x:c r="D102" s="22" t="str">
        <x:v>Parent assistant / principal analytics</x:v>
      </x:c>
      <x:c r="E102" s="23" t="n">
        <x:v>46811</x:v>
      </x:c>
      <x:c r="F102" s="23" t="n">
        <x:v>46829</x:v>
      </x:c>
      <x:c r="G102" s="22" t="n">
        <x:v>19</x:v>
      </x:c>
      <x:c r="H102" s="22" t="str">
        <x:v>Lead Engineer</x:v>
      </x:c>
      <x:c r="I102" s="22" t="str">
        <x:v>High</x:v>
      </x:c>
      <x:c r="J102" s="22" t="str">
        <x:v>Not Started</x:v>
      </x:c>
      <x:c r="K102" s="28" t="n">
        <x:v>0</x:v>
      </x:c>
      <x:c r="L102" s="22" t="str">
        <x:v>T095,T091</x:v>
      </x:c>
      <x:c r="M102" s="22" t="str">
        <x:v>Intelligence RC</x:v>
      </x:c>
      <x:c r="N102" s="22" t="str">
        <x:v>Role-specific analytics validated</x:v>
      </x:c>
      <x:c r="O102" s="22" t="str"/>
      <x:c r="P102" s="22" t="str"/>
      <x:c r="Q102" s="23" t="n">
        <x:v>46284</x:v>
      </x:c>
    </x:row>
    <x:row r="103">
      <x:c r="A103" s="22" t="str">
        <x:v>T100</x:v>
      </x:c>
      <x:c r="B103" s="22" t="str">
        <x:v>P11</x:v>
      </x:c>
      <x:c r="C103" s="22" t="str">
        <x:v>AI</x:v>
      </x:c>
      <x:c r="D103" s="22" t="str">
        <x:v>AI conversation history, retention and admin deletion</x:v>
      </x:c>
      <x:c r="E103" s="23" t="n">
        <x:v>46818</x:v>
      </x:c>
      <x:c r="F103" s="23" t="n">
        <x:v>46829</x:v>
      </x:c>
      <x:c r="G103" s="22" t="n">
        <x:v>12</x:v>
      </x:c>
      <x:c r="H103" s="22" t="str">
        <x:v>Lead Engineer</x:v>
      </x:c>
      <x:c r="I103" s="22" t="str">
        <x:v>Medium</x:v>
      </x:c>
      <x:c r="J103" s="22" t="str">
        <x:v>Not Started</x:v>
      </x:c>
      <x:c r="K103" s="28" t="n">
        <x:v>0</x:v>
      </x:c>
      <x:c r="L103" s="22" t="str">
        <x:v>T095</x:v>
      </x:c>
      <x:c r="M103" s="22" t="str">
        <x:v>Intelligence RC</x:v>
      </x:c>
      <x:c r="N103" s="22" t="str">
        <x:v>Retention/delete controls work</x:v>
      </x:c>
      <x:c r="O103" s="22" t="str"/>
      <x:c r="P103" s="22" t="str"/>
      <x:c r="Q103" s="23" t="n">
        <x:v>46284</x:v>
      </x:c>
    </x:row>
    <x:row r="104">
      <x:c r="A104" s="22" t="str">
        <x:v>T101</x:v>
      </x:c>
      <x:c r="B104" s="22" t="str">
        <x:v>P12</x:v>
      </x:c>
      <x:c r="C104" s="22" t="str">
        <x:v>QA</x:v>
      </x:c>
      <x:c r="D104" s="22" t="str">
        <x:v>Full regression test suite</x:v>
      </x:c>
      <x:c r="E104" s="23" t="n">
        <x:v>46813</x:v>
      </x:c>
      <x:c r="F104" s="23" t="n">
        <x:v>46836</x:v>
      </x:c>
      <x:c r="G104" s="22" t="n">
        <x:v>24</x:v>
      </x:c>
      <x:c r="H104" s="22" t="str">
        <x:v>Lead Engineer / QA</x:v>
      </x:c>
      <x:c r="I104" s="22" t="str">
        <x:v>Critical</x:v>
      </x:c>
      <x:c r="J104" s="22" t="str">
        <x:v>Not Started</x:v>
      </x:c>
      <x:c r="K104" s="28" t="n">
        <x:v>0</x:v>
      </x:c>
      <x:c r="L104" s="22" t="str">
        <x:v>T020-T099</x:v>
      </x:c>
      <x:c r="M104" s="22" t="str">
        <x:v>GA Readiness</x:v>
      </x:c>
      <x:c r="N104" s="22" t="str">
        <x:v>Core regression suite passes</x:v>
      </x:c>
      <x:c r="O104" s="22" t="str"/>
      <x:c r="P104" s="22" t="str"/>
      <x:c r="Q104" s="23" t="n">
        <x:v>46284</x:v>
      </x:c>
    </x:row>
    <x:row r="105">
      <x:c r="A105" s="22" t="str">
        <x:v>T102</x:v>
      </x:c>
      <x:c r="B105" s="22" t="str">
        <x:v>P12</x:v>
      </x:c>
      <x:c r="C105" s="22" t="str">
        <x:v>Security</x:v>
      </x:c>
      <x:c r="D105" s="22" t="str">
        <x:v>Authorization/RLS penetration and privilege-escalation testing</x:v>
      </x:c>
      <x:c r="E105" s="23" t="n">
        <x:v>46820</x:v>
      </x:c>
      <x:c r="F105" s="23" t="n">
        <x:v>46843</x:v>
      </x:c>
      <x:c r="G105" s="22" t="n">
        <x:v>24</x:v>
      </x:c>
      <x:c r="H105" s="22" t="str">
        <x:v>Lead Engineer / QA</x:v>
      </x:c>
      <x:c r="I105" s="22" t="str">
        <x:v>Critical</x:v>
      </x:c>
      <x:c r="J105" s="22" t="str">
        <x:v>Not Started</x:v>
      </x:c>
      <x:c r="K105" s="28" t="n">
        <x:v>0</x:v>
      </x:c>
      <x:c r="L105" s="22" t="str">
        <x:v>T100</x:v>
      </x:c>
      <x:c r="M105" s="22" t="str">
        <x:v>GA Readiness</x:v>
      </x:c>
      <x:c r="N105" s="22" t="str">
        <x:v>No critical auth bypass</x:v>
      </x:c>
      <x:c r="O105" s="22" t="str"/>
      <x:c r="P105" s="22" t="str"/>
      <x:c r="Q105" s="23" t="n">
        <x:v>46284</x:v>
      </x:c>
    </x:row>
    <x:row r="106">
      <x:c r="A106" s="22" t="str">
        <x:v>T103</x:v>
      </x:c>
      <x:c r="B106" s="22" t="str">
        <x:v>P12</x:v>
      </x:c>
      <x:c r="C106" s="22" t="str">
        <x:v>Performance</x:v>
      </x:c>
      <x:c r="D106" s="22" t="str">
        <x:v>Load/performance test critical school workflows</x:v>
      </x:c>
      <x:c r="E106" s="23" t="n">
        <x:v>46820</x:v>
      </x:c>
      <x:c r="F106" s="23" t="n">
        <x:v>46843</x:v>
      </x:c>
      <x:c r="G106" s="22" t="n">
        <x:v>24</x:v>
      </x:c>
      <x:c r="H106" s="22" t="str">
        <x:v>Lead Engineer / QA</x:v>
      </x:c>
      <x:c r="I106" s="22" t="str">
        <x:v>High</x:v>
      </x:c>
      <x:c r="J106" s="22" t="str">
        <x:v>Not Started</x:v>
      </x:c>
      <x:c r="K106" s="28" t="n">
        <x:v>0</x:v>
      </x:c>
      <x:c r="L106" s="22" t="str">
        <x:v>T100</x:v>
      </x:c>
      <x:c r="M106" s="22" t="str">
        <x:v>GA Readiness</x:v>
      </x:c>
      <x:c r="N106" s="22" t="str">
        <x:v>Performance targets met</x:v>
      </x:c>
      <x:c r="O106" s="22" t="str"/>
      <x:c r="P106" s="22" t="str"/>
      <x:c r="Q106" s="23" t="n">
        <x:v>46284</x:v>
      </x:c>
    </x:row>
    <x:row r="107">
      <x:c r="A107" s="22" t="str">
        <x:v>T104</x:v>
      </x:c>
      <x:c r="B107" s="22" t="str">
        <x:v>P12</x:v>
      </x:c>
      <x:c r="C107" s="22" t="str">
        <x:v>UAT</x:v>
      </x:c>
      <x:c r="D107" s="22" t="str">
        <x:v>School scenario UAT: admin/teacher/parent/student/accountant</x:v>
      </x:c>
      <x:c r="E107" s="23" t="n">
        <x:v>46827</x:v>
      </x:c>
      <x:c r="F107" s="23" t="n">
        <x:v>46847</x:v>
      </x:c>
      <x:c r="G107" s="22" t="n">
        <x:v>21</x:v>
      </x:c>
      <x:c r="H107" s="22" t="str">
        <x:v>Lead Engineer / QA</x:v>
      </x:c>
      <x:c r="I107" s="22" t="str">
        <x:v>Critical</x:v>
      </x:c>
      <x:c r="J107" s="22" t="str">
        <x:v>Not Started</x:v>
      </x:c>
      <x:c r="K107" s="28" t="n">
        <x:v>0</x:v>
      </x:c>
      <x:c r="L107" s="22" t="str">
        <x:v>T100</x:v>
      </x:c>
      <x:c r="M107" s="22" t="str">
        <x:v>GA Readiness</x:v>
      </x:c>
      <x:c r="N107" s="22" t="str">
        <x:v>UAT accepted</x:v>
      </x:c>
      <x:c r="O107" s="22" t="str"/>
      <x:c r="P107" s="22" t="str"/>
      <x:c r="Q107" s="23" t="n">
        <x:v>46284</x:v>
      </x:c>
    </x:row>
    <x:row r="108">
      <x:c r="A108" s="22" t="str">
        <x:v>T105</x:v>
      </x:c>
      <x:c r="B108" s="22" t="str">
        <x:v>P12</x:v>
      </x:c>
      <x:c r="C108" s="22" t="str">
        <x:v>Data</x:v>
      </x:c>
      <x:c r="D108" s="22" t="str">
        <x:v>Migration/backup/restore and fresh deployment validation</x:v>
      </x:c>
      <x:c r="E108" s="23" t="n">
        <x:v>46834</x:v>
      </x:c>
      <x:c r="F108" s="23" t="n">
        <x:v>46847</x:v>
      </x:c>
      <x:c r="G108" s="22" t="n">
        <x:v>14</x:v>
      </x:c>
      <x:c r="H108" s="22" t="str">
        <x:v>Lead Engineer / QA</x:v>
      </x:c>
      <x:c r="I108" s="22" t="str">
        <x:v>Critical</x:v>
      </x:c>
      <x:c r="J108" s="22" t="str">
        <x:v>Not Started</x:v>
      </x:c>
      <x:c r="K108" s="28" t="n">
        <x:v>0</x:v>
      </x:c>
      <x:c r="L108" s="22" t="str">
        <x:v>T089,T100</x:v>
      </x:c>
      <x:c r="M108" s="22" t="str">
        <x:v>GA Readiness</x:v>
      </x:c>
      <x:c r="N108" s="22" t="str">
        <x:v>Deployment/restore verified</x:v>
      </x:c>
      <x:c r="O108" s="22" t="str"/>
      <x:c r="P108" s="22" t="str"/>
      <x:c r="Q108" s="23" t="n">
        <x:v>46284</x:v>
      </x:c>
    </x:row>
    <x:row r="109">
      <x:c r="A109" s="22" t="str">
        <x:v>T106</x:v>
      </x:c>
      <x:c r="B109" s="22" t="str">
        <x:v>P12</x:v>
      </x:c>
      <x:c r="C109" s="22" t="str">
        <x:v>Documentation</x:v>
      </x:c>
      <x:c r="D109" s="22" t="str">
        <x:v>Admin guide, deployment guide, support runbook</x:v>
      </x:c>
      <x:c r="E109" s="23" t="n">
        <x:v>46827</x:v>
      </x:c>
      <x:c r="F109" s="23" t="n">
        <x:v>46850</x:v>
      </x:c>
      <x:c r="G109" s="22" t="n">
        <x:v>24</x:v>
      </x:c>
      <x:c r="H109" s="22" t="str">
        <x:v>Lead Engineer</x:v>
      </x:c>
      <x:c r="I109" s="22" t="str">
        <x:v>High</x:v>
      </x:c>
      <x:c r="J109" s="22" t="str">
        <x:v>Not Started</x:v>
      </x:c>
      <x:c r="K109" s="28" t="n">
        <x:v>0</x:v>
      </x:c>
      <x:c r="L109" s="22" t="str">
        <x:v>T100</x:v>
      </x:c>
      <x:c r="M109" s="22" t="str">
        <x:v>GA Readiness</x:v>
      </x:c>
      <x:c r="N109" s="22" t="str">
        <x:v>Operational docs complete</x:v>
      </x:c>
      <x:c r="O109" s="22" t="str"/>
      <x:c r="P109" s="22" t="str"/>
      <x:c r="Q109" s="23" t="n">
        <x:v>46284</x:v>
      </x:c>
    </x:row>
    <x:row r="110">
      <x:c r="A110" s="22" t="str">
        <x:v>T107</x:v>
      </x:c>
      <x:c r="B110" s="22" t="str">
        <x:v>P12</x:v>
      </x:c>
      <x:c r="C110" s="22" t="str">
        <x:v>Release</x:v>
      </x:c>
      <x:c r="D110" s="22" t="str">
        <x:v>Release candidate and issue burn-down</x:v>
      </x:c>
      <x:c r="E110" s="23" t="n">
        <x:v>46844</x:v>
      </x:c>
      <x:c r="F110" s="23" t="n">
        <x:v>46853</x:v>
      </x:c>
      <x:c r="G110" s="22" t="n">
        <x:v>10</x:v>
      </x:c>
      <x:c r="H110" s="22" t="str">
        <x:v>Lead Engineer / QA</x:v>
      </x:c>
      <x:c r="I110" s="22" t="str">
        <x:v>Critical</x:v>
      </x:c>
      <x:c r="J110" s="22" t="str">
        <x:v>Not Started</x:v>
      </x:c>
      <x:c r="K110" s="28" t="n">
        <x:v>0</x:v>
      </x:c>
      <x:c r="L110" s="22" t="str">
        <x:v>T101,T102,T103,T104,T105</x:v>
      </x:c>
      <x:c r="M110" s="22" t="str">
        <x:v>GA Readiness</x:v>
      </x:c>
      <x:c r="N110" s="22" t="str">
        <x:v>No open critical defects</x:v>
      </x:c>
      <x:c r="O110" s="22" t="str"/>
      <x:c r="P110" s="22" t="str"/>
      <x:c r="Q110" s="23" t="n">
        <x:v>46284</x:v>
      </x:c>
    </x:row>
    <x:row r="111">
      <x:c r="A111" s="22" t="str">
        <x:v>T108</x:v>
      </x:c>
      <x:c r="B111" s="22" t="str">
        <x:v>P12</x:v>
      </x:c>
      <x:c r="C111" s="22" t="str">
        <x:v>Release</x:v>
      </x:c>
      <x:c r="D111" s="22" t="str">
        <x:v>GA go/no-go review and production launch</x:v>
      </x:c>
      <x:c r="E111" s="23" t="n">
        <x:v>46854</x:v>
      </x:c>
      <x:c r="F111" s="23" t="n">
        <x:v>46857</x:v>
      </x:c>
      <x:c r="G111" s="22" t="n">
        <x:v>4</x:v>
      </x:c>
      <x:c r="H111" s="22" t="str">
        <x:v>Product Owner / Lead</x:v>
      </x:c>
      <x:c r="I111" s="22" t="str">
        <x:v>Critical</x:v>
      </x:c>
      <x:c r="J111" s="22" t="str">
        <x:v>Not Started</x:v>
      </x:c>
      <x:c r="K111" s="28" t="n">
        <x:v>0</x:v>
      </x:c>
      <x:c r="L111" s="22" t="str">
        <x:v>T106</x:v>
      </x:c>
      <x:c r="M111" s="22" t="str">
        <x:v>GA Readiness</x:v>
      </x:c>
      <x:c r="N111" s="22" t="str">
        <x:v>Go/no-go signed</x:v>
      </x:c>
      <x:c r="O111" s="22" t="str"/>
      <x:c r="P111" s="22" t="str"/>
      <x:c r="Q111" s="23" t="n">
        <x:v>46284</x:v>
      </x:c>
    </x:row>
  </x:sheetData>
  <x:mergeCells>
    <x:mergeCell ref="A1:Q1"/>
  </x:mergeCells>
  <x:conditionalFormatting sqref="J4:J111">
    <x:cfRule type="expression" dxfId="3" priority="1">
      <x:formula>J4="Done"</x:formula>
    </x:cfRule>
    <x:cfRule type="expression" dxfId="4" priority="2">
      <x:formula>J4="In Progress"</x:formula>
    </x:cfRule>
    <x:cfRule type="expression" dxfId="5" priority="3">
      <x:formula>J4="At Risk"</x:formula>
    </x:cfRule>
    <x:cfRule type="expression" dxfId="6" priority="4">
      <x:formula>J4="Blocked"</x:formula>
    </x:cfRule>
  </x:conditionalFormatting>
  <x:conditionalFormatting sqref="K4:K111">
    <x:cfRule type="dataBar" priority="5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{DF1BCABB-AF87-974B-40DB-034F8B5E1B34}</x14:id>
        </x:ext>
      </x:extLst>
    </x:cfRule>
  </x:conditionalFormatting>
  <x:dataValidations count="2">
    <x:dataValidation type="list" sqref="I4:I111">
      <x:formula1>"Critical,High,Medium,Low"</x:formula1>
    </x:dataValidation>
    <x:dataValidation type="list" sqref="J4:J111">
      <x:formula1>"Not Started,In Progress,Blocked,At Risk,Done"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b02402bce4469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DF1BCABB-AF87-974B-40DB-034F8B5E1B34}">
            <x14:dataBar gradient="1">
              <x14:cfvo type="min"/>
              <x14:cfvo type="max"/>
              <x14:fillColor rgb="FF5B9BD5"/>
            </x14:dataBar>
          </x14:cfRule>
          <xm:sqref>K4:K111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13" hidden="0" customWidth="1"/>
    <x:col min="4" max="4" width="10" hidden="0" customWidth="1"/>
    <x:col min="5" max="5" width="43" hidden="0" customWidth="1"/>
    <x:col min="6" max="6" width="24" hidden="0" customWidth="1"/>
    <x:col min="7" max="7" width="15" hidden="0" customWidth="1"/>
    <x:col min="8" max="8" width="42" hidden="0" customWidth="1"/>
    <x:col min="9" max="9" width="30" hidden="0" customWidth="1"/>
  </x:cols>
  <x:sheetData>
    <x:row r="1">
      <x:c r="A1" s="5" t="str">
        <x:v>Major Milestones &amp; Release Gates</x:v>
      </x:c>
      <x:c r="B1" s="5"/>
      <x:c r="C1" s="5"/>
      <x:c r="D1" s="5"/>
      <x:c r="E1" s="5"/>
      <x:c r="F1" s="5"/>
      <x:c r="G1" s="5"/>
      <x:c r="H1" s="5"/>
      <x:c r="I1" s="5"/>
    </x:row>
    <x:row r="3">
      <x:c r="A3" s="14" t="str">
        <x:v>ID</x:v>
      </x:c>
      <x:c r="B3" s="14" t="str">
        <x:v>Milestone</x:v>
      </x:c>
      <x:c r="C3" s="14" t="str">
        <x:v>Target Date</x:v>
      </x:c>
      <x:c r="D3" s="14" t="str">
        <x:v>Phase</x:v>
      </x:c>
      <x:c r="E3" s="14" t="str">
        <x:v>Deliverable</x:v>
      </x:c>
      <x:c r="F3" s="14" t="str">
        <x:v>Approver</x:v>
      </x:c>
      <x:c r="G3" s="14" t="str">
        <x:v>Status</x:v>
      </x:c>
      <x:c r="H3" s="14" t="str">
        <x:v>Exit Criteria</x:v>
      </x:c>
      <x:c r="I3" s="14" t="str">
        <x:v>Next Step</x:v>
      </x:c>
    </x:row>
    <x:row r="4">
      <x:c r="A4" s="22" t="str">
        <x:v>M01</x:v>
      </x:c>
      <x:c r="B4" s="22" t="str">
        <x:v>Requirements Baseline</x:v>
      </x:c>
      <x:c r="C4" s="23" t="n">
        <x:v>46311</x:v>
      </x:c>
      <x:c r="D4" s="22" t="str">
        <x:v>P0</x:v>
      </x:c>
      <x:c r="E4" s="22" t="str">
        <x:v>Master requirements + PM baseline approved</x:v>
      </x:c>
      <x:c r="F4" s="22" t="str">
        <x:v>Product Owner</x:v>
      </x:c>
      <x:c r="G4" s="22" t="str">
        <x:v>In Progress</x:v>
      </x:c>
      <x:c r="H4" s="22" t="str">
        <x:v>No unresolved architecture blockers</x:v>
      </x:c>
      <x:c r="I4" s="22" t="str">
        <x:v>Foundation may begin</x:v>
      </x:c>
    </x:row>
    <x:row r="5">
      <x:c r="A5" s="22" t="str">
        <x:v>M02</x:v>
      </x:c>
      <x:c r="B5" s="22" t="str">
        <x:v>Architecture Gate</x:v>
      </x:c>
      <x:c r="C5" s="23" t="n">
        <x:v>46367</x:v>
      </x:c>
      <x:c r="D5" s="22" t="str">
        <x:v>P1</x:v>
      </x:c>
      <x:c r="E5" s="22" t="str">
        <x:v>SaaS, DB, RLS, storage, migration and deployment patterns approved</x:v>
      </x:c>
      <x:c r="F5" s="22" t="str">
        <x:v>Lead Engineer</x:v>
      </x:c>
      <x:c r="G5" s="22" t="str">
        <x:v>Not Started</x:v>
      </x:c>
      <x:c r="H5" s="22" t="str">
        <x:v>Architecture decision records complete</x:v>
      </x:c>
      <x:c r="I5" s="22" t="str">
        <x:v>Foundation coding approved</x:v>
      </x:c>
    </x:row>
    <x:row r="6">
      <x:c r="A6" s="22" t="str">
        <x:v>M03</x:v>
      </x:c>
      <x:c r="B6" s="22" t="str">
        <x:v>Foundation Alpha</x:v>
      </x:c>
      <x:c r="C6" s="23" t="n">
        <x:v>46430</x:v>
      </x:c>
      <x:c r="D6" s="22" t="str">
        <x:v>P2</x:v>
      </x:c>
      <x:c r="E6" s="22" t="str">
        <x:v>Auth/RBAC/scope/campus/academic foundation working</x:v>
      </x:c>
      <x:c r="F6" s="22" t="str">
        <x:v>Lead Engineer</x:v>
      </x:c>
      <x:c r="G6" s="22" t="str">
        <x:v>Not Started</x:v>
      </x:c>
      <x:c r="H6" s="22" t="str">
        <x:v>Permission tests passing</x:v>
      </x:c>
      <x:c r="I6" s="22" t="str">
        <x:v>Student modules unlocked</x:v>
      </x:c>
    </x:row>
    <x:row r="7">
      <x:c r="A7" s="22" t="str">
        <x:v>M04</x:v>
      </x:c>
      <x:c r="B7" s="22" t="str">
        <x:v>Student Core Alpha</x:v>
      </x:c>
      <x:c r="C7" s="23" t="n">
        <x:v>46486</x:v>
      </x:c>
      <x:c r="D7" s="22" t="str">
        <x:v>P3</x:v>
      </x:c>
      <x:c r="E7" s="22" t="str">
        <x:v>Admission, family, enrollment and promotion history working</x:v>
      </x:c>
      <x:c r="F7" s="22" t="str">
        <x:v>Lead Engineer</x:v>
      </x:c>
      <x:c r="G7" s="22" t="str">
        <x:v>Not Started</x:v>
      </x:c>
      <x:c r="H7" s="22" t="str">
        <x:v>History and transfer scenarios pass</x:v>
      </x:c>
      <x:c r="I7" s="22" t="str">
        <x:v>Academic operations unlocked</x:v>
      </x:c>
    </x:row>
    <x:row r="8">
      <x:c r="A8" s="22" t="str">
        <x:v>M05</x:v>
      </x:c>
      <x:c r="B8" s="22" t="str">
        <x:v>Operations Alpha</x:v>
      </x:c>
      <x:c r="C8" s="23" t="n">
        <x:v>46563</x:v>
      </x:c>
      <x:c r="D8" s="22" t="str">
        <x:v>P5</x:v>
      </x:c>
      <x:c r="E8" s="22" t="str">
        <x:v>Timetable, attendance, homework and base notifications usable</x:v>
      </x:c>
      <x:c r="F8" s="22" t="str">
        <x:v>Lead Engineer</x:v>
      </x:c>
      <x:c r="G8" s="22" t="str">
        <x:v>Not Started</x:v>
      </x:c>
      <x:c r="H8" s="22" t="str">
        <x:v>Teacher workflow UAT pass</x:v>
      </x:c>
      <x:c r="I8" s="22" t="str">
        <x:v>Pilot academic operations</x:v>
      </x:c>
    </x:row>
    <x:row r="9">
      <x:c r="A9" s="22" t="str">
        <x:v>M06</x:v>
      </x:c>
      <x:c r="B9" s="22" t="str">
        <x:v>Academic Pilot</x:v>
      </x:c>
      <x:c r="C9" s="23" t="n">
        <x:v>46619</x:v>
      </x:c>
      <x:c r="D9" s="22" t="str">
        <x:v>P6</x:v>
      </x:c>
      <x:c r="E9" s="22" t="str">
        <x:v>Exam/marks/results/report card workflow usable</x:v>
      </x:c>
      <x:c r="F9" s="22" t="str">
        <x:v>Exam Controller / Lead</x:v>
      </x:c>
      <x:c r="G9" s="22" t="str">
        <x:v>Not Started</x:v>
      </x:c>
      <x:c r="H9" s="22" t="str">
        <x:v>Publish-lock-correct lifecycle passes</x:v>
      </x:c>
      <x:c r="I9" s="22" t="str">
        <x:v>Pilot school use</x:v>
      </x:c>
    </x:row>
    <x:row r="10">
      <x:c r="A10" s="22" t="str">
        <x:v>M07</x:v>
      </x:c>
      <x:c r="B10" s="22" t="str">
        <x:v>School Beta</x:v>
      </x:c>
      <x:c r="C10" s="23" t="n">
        <x:v>46682</x:v>
      </x:c>
      <x:c r="D10" s="22" t="str">
        <x:v>P7</x:v>
      </x:c>
      <x:c r="E10" s="22" t="str">
        <x:v>Finance and payments integrated with academic core</x:v>
      </x:c>
      <x:c r="F10" s="22" t="str">
        <x:v>Product Owner / Lead</x:v>
      </x:c>
      <x:c r="G10" s="22" t="str">
        <x:v>Not Started</x:v>
      </x:c>
      <x:c r="H10" s="22" t="str">
        <x:v>Financial reconciliation passes</x:v>
      </x:c>
      <x:c r="I10" s="22" t="str">
        <x:v>Broader beta</x:v>
      </x:c>
    </x:row>
    <x:row r="11">
      <x:c r="A11" s="22" t="str">
        <x:v>M08</x:v>
      </x:c>
      <x:c r="B11" s="22" t="str">
        <x:v>Feature Complete</x:v>
      </x:c>
      <x:c r="C11" s="23" t="n">
        <x:v>46766</x:v>
      </x:c>
      <x:c r="D11" s="22" t="str">
        <x:v>P9</x:v>
      </x:c>
      <x:c r="E11" s="22" t="str">
        <x:v>Core optional modules completed</x:v>
      </x:c>
      <x:c r="F11" s="22" t="str">
        <x:v>Lead Engineer</x:v>
      </x:c>
      <x:c r="G11" s="22" t="str">
        <x:v>Not Started</x:v>
      </x:c>
      <x:c r="H11" s="22" t="str">
        <x:v>Module enable/disable validated</x:v>
      </x:c>
      <x:c r="I11" s="22" t="str">
        <x:v>Hardening begins</x:v>
      </x:c>
    </x:row>
    <x:row r="12">
      <x:c r="A12" s="22" t="str">
        <x:v>M09</x:v>
      </x:c>
      <x:c r="B12" s="22" t="str">
        <x:v>Resilience Gate</x:v>
      </x:c>
      <x:c r="C12" s="23" t="n">
        <x:v>46794</x:v>
      </x:c>
      <x:c r="D12" s="22" t="str">
        <x:v>P10</x:v>
      </x:c>
      <x:c r="E12" s="22" t="str">
        <x:v>Offline sync, backup/restore and deployment rehearsal pass</x:v>
      </x:c>
      <x:c r="F12" s="22" t="str">
        <x:v>Lead Engineer / QA</x:v>
      </x:c>
      <x:c r="G12" s="22" t="str">
        <x:v>Not Started</x:v>
      </x:c>
      <x:c r="H12" s="22" t="str">
        <x:v>Failure recovery scenarios pass</x:v>
      </x:c>
      <x:c r="I12" s="22" t="str">
        <x:v>RC eligible</x:v>
      </x:c>
    </x:row>
    <x:row r="13">
      <x:c r="A13" s="22" t="str">
        <x:v>M10</x:v>
      </x:c>
      <x:c r="B13" s="22" t="str">
        <x:v>Intelligence RC</x:v>
      </x:c>
      <x:c r="C13" s="23" t="n">
        <x:v>46829</x:v>
      </x:c>
      <x:c r="D13" s="22" t="str">
        <x:v>P11</x:v>
      </x:c>
      <x:c r="E13" s="22" t="str">
        <x:v>Analytics, automation and permission-aware AI complete</x:v>
      </x:c>
      <x:c r="F13" s="22" t="str">
        <x:v>Product Owner / Lead</x:v>
      </x:c>
      <x:c r="G13" s="22" t="str">
        <x:v>Not Started</x:v>
      </x:c>
      <x:c r="H13" s="22" t="str">
        <x:v>AI authorization tests pass</x:v>
      </x:c>
      <x:c r="I13" s="22" t="str">
        <x:v>Release candidate</x:v>
      </x:c>
    </x:row>
    <x:row r="14">
      <x:c r="A14" s="22" t="str">
        <x:v>M11</x:v>
      </x:c>
      <x:c r="B14" s="22" t="str">
        <x:v>GA Readiness</x:v>
      </x:c>
      <x:c r="C14" s="23" t="n">
        <x:v>46857</x:v>
      </x:c>
      <x:c r="D14" s="22" t="str">
        <x:v>P12</x:v>
      </x:c>
      <x:c r="E14" s="22" t="str">
        <x:v>UAT, security, performance and documentation gates pass</x:v>
      </x:c>
      <x:c r="F14" s="22" t="str">
        <x:v>Product Owner</x:v>
      </x:c>
      <x:c r="G14" s="22" t="str">
        <x:v>Not Started</x:v>
      </x:c>
      <x:c r="H14" s="22" t="str">
        <x:v>No unresolved critical defects</x:v>
      </x:c>
      <x:c r="I14" s="22" t="str">
        <x:v>Approve production</x:v>
      </x:c>
    </x:row>
    <x:row r="15">
      <x:c r="A15" s="22" t="str">
        <x:v>M12</x:v>
      </x:c>
      <x:c r="B15" s="22" t="str">
        <x:v>General Availability</x:v>
      </x:c>
      <x:c r="C15" s="23" t="n">
        <x:v>46860</x:v>
      </x:c>
      <x:c r="D15" s="22" t="str">
        <x:v>Release</x:v>
      </x:c>
      <x:c r="E15" s="22" t="str">
        <x:v>Production release</x:v>
      </x:c>
      <x:c r="F15" s="22" t="str">
        <x:v>Product Owner</x:v>
      </x:c>
      <x:c r="G15" s="22" t="str">
        <x:v>Not Started</x:v>
      </x:c>
      <x:c r="H15" s="22" t="str">
        <x:v>Go/no-go signed</x:v>
      </x:c>
      <x:c r="I15" s="22" t="str">
        <x:v>Operate/support</x:v>
      </x:c>
    </x:row>
  </x:sheetData>
  <x:mergeCells>
    <x:mergeCell ref="A1:I1"/>
  </x:mergeCells>
  <x:dataValidations count="1">
    <x:dataValidation type="list" sqref="G4:G15">
      <x:formula1>"Not Started,In Progress,At Risk,Blocked,Done"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25a9667a3d424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2" hidden="0" customWidth="1"/>
    <x:col min="3" max="3" width="12" hidden="0" customWidth="1"/>
    <x:col min="4" max="4" width="15" hidden="0" customWidth="1"/>
    <x:col min="5" max="5" width="50" hidden="0" customWidth="1"/>
    <x:col min="6" max="6" width="25" hidden="0" customWidth="1"/>
    <x:col min="7" max="7" width="13" hidden="0" customWidth="1"/>
    <x:col min="8" max="8" width="40" hidden="0" customWidth="1"/>
  </x:cols>
  <x:sheetData>
    <x:row r="1">
      <x:c r="A1" s="5" t="str">
        <x:v>Two-Week Sprint Calendar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Sprint</x:v>
      </x:c>
      <x:c r="B3" s="14" t="str">
        <x:v>Start</x:v>
      </x:c>
      <x:c r="C3" s="14" t="str">
        <x:v>End</x:v>
      </x:c>
      <x:c r="D3" s="14" t="str">
        <x:v>Primary Phase</x:v>
      </x:c>
      <x:c r="E3" s="14" t="str">
        <x:v>Suggested Focus</x:v>
      </x:c>
      <x:c r="F3" s="14" t="str">
        <x:v>Release / Gate</x:v>
      </x:c>
      <x:c r="G3" s="14" t="str">
        <x:v>Status</x:v>
      </x:c>
      <x:c r="H3" s="14" t="str">
        <x:v>Notes</x:v>
      </x:c>
    </x:row>
    <x:row r="4">
      <x:c r="A4" s="22" t="str">
        <x:v>S01</x:v>
      </x:c>
      <x:c r="B4" s="23" t="n">
        <x:v>46286</x:v>
      </x:c>
      <x:c r="C4" s="23" t="n">
        <x:v>46299</x:v>
      </x:c>
      <x:c r="D4" s="22" t="str">
        <x:v>P0</x:v>
      </x:c>
      <x:c r="E4" s="22" t="str">
        <x:v>Requirements, PM setup, repo standards</x:v>
      </x:c>
      <x:c r="F4" s="22" t="str"/>
      <x:c r="G4" s="22" t="str">
        <x:v>Planned</x:v>
      </x:c>
      <x:c r="H4" s="22" t="str"/>
    </x:row>
    <x:row r="5">
      <x:c r="A5" s="22" t="str">
        <x:v>S02</x:v>
      </x:c>
      <x:c r="B5" s="23" t="n">
        <x:v>46300</x:v>
      </x:c>
      <x:c r="C5" s="23" t="n">
        <x:v>46313</x:v>
      </x:c>
      <x:c r="D5" s="22" t="str">
        <x:v>P0</x:v>
      </x:c>
      <x:c r="E5" s="22" t="str">
        <x:v>Requirements, PM setup, repo standards</x:v>
      </x:c>
      <x:c r="F5" s="22" t="str">
        <x:v>Requirements Baseline</x:v>
      </x:c>
      <x:c r="G5" s="22" t="str">
        <x:v>Planned</x:v>
      </x:c>
      <x:c r="H5" s="22" t="str"/>
    </x:row>
    <x:row r="6">
      <x:c r="A6" s="22" t="str">
        <x:v>S03</x:v>
      </x:c>
      <x:c r="B6" s="23" t="n">
        <x:v>46314</x:v>
      </x:c>
      <x:c r="C6" s="23" t="n">
        <x:v>46327</x:v>
      </x:c>
      <x:c r="D6" s="22" t="str">
        <x:v>P1</x:v>
      </x:c>
      <x:c r="E6" s="22" t="str">
        <x:v>Architecture, migrations, RLS, control plane</x:v>
      </x:c>
      <x:c r="F6" s="22" t="str"/>
      <x:c r="G6" s="22" t="str">
        <x:v>Planned</x:v>
      </x:c>
      <x:c r="H6" s="22" t="str"/>
    </x:row>
    <x:row r="7">
      <x:c r="A7" s="22" t="str">
        <x:v>S04</x:v>
      </x:c>
      <x:c r="B7" s="23" t="n">
        <x:v>46328</x:v>
      </x:c>
      <x:c r="C7" s="23" t="n">
        <x:v>46341</x:v>
      </x:c>
      <x:c r="D7" s="22" t="str">
        <x:v>P1</x:v>
      </x:c>
      <x:c r="E7" s="22" t="str">
        <x:v>Architecture, migrations, RLS, control plane</x:v>
      </x:c>
      <x:c r="F7" s="22" t="str"/>
      <x:c r="G7" s="22" t="str">
        <x:v>Planned</x:v>
      </x:c>
      <x:c r="H7" s="22" t="str"/>
    </x:row>
    <x:row r="8">
      <x:c r="A8" s="22" t="str">
        <x:v>S05</x:v>
      </x:c>
      <x:c r="B8" s="23" t="n">
        <x:v>46342</x:v>
      </x:c>
      <x:c r="C8" s="23" t="n">
        <x:v>46355</x:v>
      </x:c>
      <x:c r="D8" s="22" t="str">
        <x:v>P1</x:v>
      </x:c>
      <x:c r="E8" s="22" t="str">
        <x:v>Architecture, migrations, RLS, control plane</x:v>
      </x:c>
      <x:c r="F8" s="22" t="str"/>
      <x:c r="G8" s="22" t="str">
        <x:v>Planned</x:v>
      </x:c>
      <x:c r="H8" s="22" t="str"/>
    </x:row>
    <x:row r="9">
      <x:c r="A9" s="22" t="str">
        <x:v>S06</x:v>
      </x:c>
      <x:c r="B9" s="23" t="n">
        <x:v>46356</x:v>
      </x:c>
      <x:c r="C9" s="23" t="n">
        <x:v>46369</x:v>
      </x:c>
      <x:c r="D9" s="22" t="str">
        <x:v>P1</x:v>
      </x:c>
      <x:c r="E9" s="22" t="str">
        <x:v>Architecture, migrations, RLS, control plane</x:v>
      </x:c>
      <x:c r="F9" s="22" t="str">
        <x:v>Architecture Gate</x:v>
      </x:c>
      <x:c r="G9" s="22" t="str">
        <x:v>Planned</x:v>
      </x:c>
      <x:c r="H9" s="22" t="str"/>
    </x:row>
    <x:row r="10">
      <x:c r="A10" s="22" t="str">
        <x:v>S07</x:v>
      </x:c>
      <x:c r="B10" s="23" t="n">
        <x:v>46370</x:v>
      </x:c>
      <x:c r="C10" s="23" t="n">
        <x:v>46383</x:v>
      </x:c>
      <x:c r="D10" s="22" t="str">
        <x:v>P2</x:v>
      </x:c>
      <x:c r="E10" s="22" t="str">
        <x:v>Auth, people, RBAC, campus, academic setup</x:v>
      </x:c>
      <x:c r="F10" s="22" t="str"/>
      <x:c r="G10" s="22" t="str">
        <x:v>Planned</x:v>
      </x:c>
      <x:c r="H10" s="22" t="str"/>
    </x:row>
    <x:row r="11">
      <x:c r="A11" s="22" t="str">
        <x:v>S08</x:v>
      </x:c>
      <x:c r="B11" s="23" t="n">
        <x:v>46384</x:v>
      </x:c>
      <x:c r="C11" s="23" t="n">
        <x:v>46397</x:v>
      </x:c>
      <x:c r="D11" s="22" t="str">
        <x:v>P2</x:v>
      </x:c>
      <x:c r="E11" s="22" t="str">
        <x:v>Auth, people, RBAC, campus, academic setup</x:v>
      </x:c>
      <x:c r="F11" s="22" t="str"/>
      <x:c r="G11" s="22" t="str">
        <x:v>Planned</x:v>
      </x:c>
      <x:c r="H11" s="22" t="str"/>
    </x:row>
    <x:row r="12">
      <x:c r="A12" s="22" t="str">
        <x:v>S09</x:v>
      </x:c>
      <x:c r="B12" s="23" t="n">
        <x:v>46398</x:v>
      </x:c>
      <x:c r="C12" s="23" t="n">
        <x:v>46411</x:v>
      </x:c>
      <x:c r="D12" s="22" t="str">
        <x:v>P2</x:v>
      </x:c>
      <x:c r="E12" s="22" t="str">
        <x:v>Auth, people, RBAC, campus, academic setup</x:v>
      </x:c>
      <x:c r="F12" s="22" t="str"/>
      <x:c r="G12" s="22" t="str">
        <x:v>Planned</x:v>
      </x:c>
      <x:c r="H12" s="22" t="str"/>
    </x:row>
    <x:row r="13">
      <x:c r="A13" s="22" t="str">
        <x:v>S10</x:v>
      </x:c>
      <x:c r="B13" s="23" t="n">
        <x:v>46412</x:v>
      </x:c>
      <x:c r="C13" s="23" t="n">
        <x:v>46425</x:v>
      </x:c>
      <x:c r="D13" s="22" t="str">
        <x:v>P2</x:v>
      </x:c>
      <x:c r="E13" s="22" t="str">
        <x:v>Auth, people, RBAC, campus, academic setup</x:v>
      </x:c>
      <x:c r="F13" s="22" t="str"/>
      <x:c r="G13" s="22" t="str">
        <x:v>Planned</x:v>
      </x:c>
      <x:c r="H13" s="22" t="str"/>
    </x:row>
    <x:row r="14">
      <x:c r="A14" s="22" t="str">
        <x:v>S11</x:v>
      </x:c>
      <x:c r="B14" s="23" t="n">
        <x:v>46426</x:v>
      </x:c>
      <x:c r="C14" s="23" t="n">
        <x:v>46439</x:v>
      </x:c>
      <x:c r="D14" s="22" t="str">
        <x:v>Launch/Support</x:v>
      </x:c>
      <x:c r="E14" s="22" t="str">
        <x:v>Integration</x:v>
      </x:c>
      <x:c r="F14" s="22" t="str">
        <x:v>Foundation Alpha</x:v>
      </x:c>
      <x:c r="G14" s="22" t="str">
        <x:v>Planned</x:v>
      </x:c>
      <x:c r="H14" s="22" t="str"/>
    </x:row>
    <x:row r="15">
      <x:c r="A15" s="22" t="str">
        <x:v>S12</x:v>
      </x:c>
      <x:c r="B15" s="23" t="n">
        <x:v>46440</x:v>
      </x:c>
      <x:c r="C15" s="23" t="n">
        <x:v>46453</x:v>
      </x:c>
      <x:c r="D15" s="22" t="str">
        <x:v>P3</x:v>
      </x:c>
      <x:c r="E15" s="22" t="str">
        <x:v>Students, family, admissions, enrollment</x:v>
      </x:c>
      <x:c r="F15" s="22" t="str"/>
      <x:c r="G15" s="22" t="str">
        <x:v>Planned</x:v>
      </x:c>
      <x:c r="H15" s="22" t="str"/>
    </x:row>
    <x:row r="16">
      <x:c r="A16" s="22" t="str">
        <x:v>S13</x:v>
      </x:c>
      <x:c r="B16" s="23" t="n">
        <x:v>46454</x:v>
      </x:c>
      <x:c r="C16" s="23" t="n">
        <x:v>46467</x:v>
      </x:c>
      <x:c r="D16" s="22" t="str">
        <x:v>P3</x:v>
      </x:c>
      <x:c r="E16" s="22" t="str">
        <x:v>Students, family, admissions, enrollment</x:v>
      </x:c>
      <x:c r="F16" s="22" t="str"/>
      <x:c r="G16" s="22" t="str">
        <x:v>Planned</x:v>
      </x:c>
      <x:c r="H16" s="22" t="str"/>
    </x:row>
    <x:row r="17">
      <x:c r="A17" s="22" t="str">
        <x:v>S14</x:v>
      </x:c>
      <x:c r="B17" s="23" t="n">
        <x:v>46468</x:v>
      </x:c>
      <x:c r="C17" s="23" t="n">
        <x:v>46481</x:v>
      </x:c>
      <x:c r="D17" s="22" t="str">
        <x:v>P3, P4</x:v>
      </x:c>
      <x:c r="E17" s="22" t="str">
        <x:v>Students, family, admissions, enrollment + Curriculum, teachers, timetable</x:v>
      </x:c>
      <x:c r="F17" s="22" t="str"/>
      <x:c r="G17" s="22" t="str">
        <x:v>Planned</x:v>
      </x:c>
      <x:c r="H17" s="22" t="str"/>
    </x:row>
    <x:row r="18">
      <x:c r="A18" s="22" t="str">
        <x:v>S15</x:v>
      </x:c>
      <x:c r="B18" s="23" t="n">
        <x:v>46482</x:v>
      </x:c>
      <x:c r="C18" s="23" t="n">
        <x:v>46495</x:v>
      </x:c>
      <x:c r="D18" s="22" t="str">
        <x:v>P4</x:v>
      </x:c>
      <x:c r="E18" s="22" t="str">
        <x:v>Curriculum, teachers, timetable</x:v>
      </x:c>
      <x:c r="F18" s="22" t="str">
        <x:v>Student Core Alpha</x:v>
      </x:c>
      <x:c r="G18" s="22" t="str">
        <x:v>Planned</x:v>
      </x:c>
      <x:c r="H18" s="22" t="str"/>
    </x:row>
    <x:row r="19">
      <x:c r="A19" s="22" t="str">
        <x:v>S16</x:v>
      </x:c>
      <x:c r="B19" s="23" t="n">
        <x:v>46496</x:v>
      </x:c>
      <x:c r="C19" s="23" t="n">
        <x:v>46509</x:v>
      </x:c>
      <x:c r="D19" s="22" t="str">
        <x:v>P4</x:v>
      </x:c>
      <x:c r="E19" s="22" t="str">
        <x:v>Curriculum, teachers, timetable</x:v>
      </x:c>
      <x:c r="F19" s="22" t="str"/>
      <x:c r="G19" s="22" t="str">
        <x:v>Planned</x:v>
      </x:c>
      <x:c r="H19" s="22" t="str"/>
    </x:row>
    <x:row r="20">
      <x:c r="A20" s="22" t="str">
        <x:v>S17</x:v>
      </x:c>
      <x:c r="B20" s="23" t="n">
        <x:v>46510</x:v>
      </x:c>
      <x:c r="C20" s="23" t="n">
        <x:v>46523</x:v>
      </x:c>
      <x:c r="D20" s="22" t="str">
        <x:v>P4, P5</x:v>
      </x:c>
      <x:c r="E20" s="22" t="str">
        <x:v>Curriculum, teachers, timetable + Attendance, assignments, notifications</x:v>
      </x:c>
      <x:c r="F20" s="22" t="str"/>
      <x:c r="G20" s="22" t="str">
        <x:v>Planned</x:v>
      </x:c>
      <x:c r="H20" s="22" t="str"/>
    </x:row>
    <x:row r="21">
      <x:c r="A21" s="22" t="str">
        <x:v>S18</x:v>
      </x:c>
      <x:c r="B21" s="23" t="n">
        <x:v>46524</x:v>
      </x:c>
      <x:c r="C21" s="23" t="n">
        <x:v>46537</x:v>
      </x:c>
      <x:c r="D21" s="22" t="str">
        <x:v>P5</x:v>
      </x:c>
      <x:c r="E21" s="22" t="str">
        <x:v>Attendance, assignments, notifications</x:v>
      </x:c>
      <x:c r="F21" s="22" t="str"/>
      <x:c r="G21" s="22" t="str">
        <x:v>Planned</x:v>
      </x:c>
      <x:c r="H21" s="22" t="str"/>
    </x:row>
    <x:row r="22">
      <x:c r="A22" s="22" t="str">
        <x:v>S19</x:v>
      </x:c>
      <x:c r="B22" s="23" t="n">
        <x:v>46538</x:v>
      </x:c>
      <x:c r="C22" s="23" t="n">
        <x:v>46551</x:v>
      </x:c>
      <x:c r="D22" s="22" t="str">
        <x:v>P5</x:v>
      </x:c>
      <x:c r="E22" s="22" t="str">
        <x:v>Attendance, assignments, notifications</x:v>
      </x:c>
      <x:c r="F22" s="22" t="str"/>
      <x:c r="G22" s="22" t="str">
        <x:v>Planned</x:v>
      </x:c>
      <x:c r="H22" s="22" t="str"/>
    </x:row>
    <x:row r="23">
      <x:c r="A23" s="22" t="str">
        <x:v>S20</x:v>
      </x:c>
      <x:c r="B23" s="23" t="n">
        <x:v>46552</x:v>
      </x:c>
      <x:c r="C23" s="23" t="n">
        <x:v>46565</x:v>
      </x:c>
      <x:c r="D23" s="22" t="str">
        <x:v>P5, P6</x:v>
      </x:c>
      <x:c r="E23" s="22" t="str">
        <x:v>Attendance, assignments, notifications + Exams, marks, results</x:v>
      </x:c>
      <x:c r="F23" s="22" t="str">
        <x:v>Operations Alpha</x:v>
      </x:c>
      <x:c r="G23" s="22" t="str">
        <x:v>Planned</x:v>
      </x:c>
      <x:c r="H23" s="22" t="str"/>
    </x:row>
    <x:row r="24">
      <x:c r="A24" s="22" t="str">
        <x:v>S21</x:v>
      </x:c>
      <x:c r="B24" s="23" t="n">
        <x:v>46566</x:v>
      </x:c>
      <x:c r="C24" s="23" t="n">
        <x:v>46579</x:v>
      </x:c>
      <x:c r="D24" s="22" t="str">
        <x:v>P6</x:v>
      </x:c>
      <x:c r="E24" s="22" t="str">
        <x:v>Exams, marks, results</x:v>
      </x:c>
      <x:c r="F24" s="22" t="str"/>
      <x:c r="G24" s="22" t="str">
        <x:v>Planned</x:v>
      </x:c>
      <x:c r="H24" s="22" t="str"/>
    </x:row>
    <x:row r="25">
      <x:c r="A25" s="22" t="str">
        <x:v>S22</x:v>
      </x:c>
      <x:c r="B25" s="23" t="n">
        <x:v>46580</x:v>
      </x:c>
      <x:c r="C25" s="23" t="n">
        <x:v>46593</x:v>
      </x:c>
      <x:c r="D25" s="22" t="str">
        <x:v>P6</x:v>
      </x:c>
      <x:c r="E25" s="22" t="str">
        <x:v>Exams, marks, results</x:v>
      </x:c>
      <x:c r="F25" s="22" t="str"/>
      <x:c r="G25" s="22" t="str">
        <x:v>Planned</x:v>
      </x:c>
      <x:c r="H25" s="22" t="str"/>
    </x:row>
    <x:row r="26">
      <x:c r="A26" s="22" t="str">
        <x:v>S23</x:v>
      </x:c>
      <x:c r="B26" s="23" t="n">
        <x:v>46594</x:v>
      </x:c>
      <x:c r="C26" s="23" t="n">
        <x:v>46607</x:v>
      </x:c>
      <x:c r="D26" s="22" t="str">
        <x:v>P6</x:v>
      </x:c>
      <x:c r="E26" s="22" t="str">
        <x:v>Exams, marks, results</x:v>
      </x:c>
      <x:c r="F26" s="22" t="str"/>
      <x:c r="G26" s="22" t="str">
        <x:v>Planned</x:v>
      </x:c>
      <x:c r="H26" s="22" t="str"/>
    </x:row>
    <x:row r="27">
      <x:c r="A27" s="22" t="str">
        <x:v>S24</x:v>
      </x:c>
      <x:c r="B27" s="23" t="n">
        <x:v>46608</x:v>
      </x:c>
      <x:c r="C27" s="23" t="n">
        <x:v>46621</x:v>
      </x:c>
      <x:c r="D27" s="22" t="str">
        <x:v>P6, P7</x:v>
      </x:c>
      <x:c r="E27" s="22" t="str">
        <x:v>Exams, marks, results + Fees, payments, finance</x:v>
      </x:c>
      <x:c r="F27" s="22" t="str">
        <x:v>Academic Pilot</x:v>
      </x:c>
      <x:c r="G27" s="22" t="str">
        <x:v>Planned</x:v>
      </x:c>
      <x:c r="H27" s="22" t="str"/>
    </x:row>
    <x:row r="28">
      <x:c r="A28" s="22" t="str">
        <x:v>S25</x:v>
      </x:c>
      <x:c r="B28" s="23" t="n">
        <x:v>46622</x:v>
      </x:c>
      <x:c r="C28" s="23" t="n">
        <x:v>46635</x:v>
      </x:c>
      <x:c r="D28" s="22" t="str">
        <x:v>P7</x:v>
      </x:c>
      <x:c r="E28" s="22" t="str">
        <x:v>Fees, payments, finance</x:v>
      </x:c>
      <x:c r="F28" s="22" t="str"/>
      <x:c r="G28" s="22" t="str">
        <x:v>Planned</x:v>
      </x:c>
      <x:c r="H28" s="22" t="str"/>
    </x:row>
    <x:row r="29">
      <x:c r="A29" s="22" t="str">
        <x:v>S26</x:v>
      </x:c>
      <x:c r="B29" s="23" t="n">
        <x:v>46636</x:v>
      </x:c>
      <x:c r="C29" s="23" t="n">
        <x:v>46649</x:v>
      </x:c>
      <x:c r="D29" s="22" t="str">
        <x:v>P7</x:v>
      </x:c>
      <x:c r="E29" s="22" t="str">
        <x:v>Fees, payments, finance</x:v>
      </x:c>
      <x:c r="F29" s="22" t="str"/>
      <x:c r="G29" s="22" t="str">
        <x:v>Planned</x:v>
      </x:c>
      <x:c r="H29" s="22" t="str"/>
    </x:row>
    <x:row r="30">
      <x:c r="A30" s="22" t="str">
        <x:v>S27</x:v>
      </x:c>
      <x:c r="B30" s="23" t="n">
        <x:v>46650</x:v>
      </x:c>
      <x:c r="C30" s="23" t="n">
        <x:v>46663</x:v>
      </x:c>
      <x:c r="D30" s="22" t="str">
        <x:v>P7</x:v>
      </x:c>
      <x:c r="E30" s="22" t="str">
        <x:v>Fees, payments, finance</x:v>
      </x:c>
      <x:c r="F30" s="22" t="str"/>
      <x:c r="G30" s="22" t="str">
        <x:v>Planned</x:v>
      </x:c>
      <x:c r="H30" s="22" t="str"/>
    </x:row>
    <x:row r="31">
      <x:c r="A31" s="22" t="str">
        <x:v>S28</x:v>
      </x:c>
      <x:c r="B31" s="23" t="n">
        <x:v>46664</x:v>
      </x:c>
      <x:c r="C31" s="23" t="n">
        <x:v>46677</x:v>
      </x:c>
      <x:c r="D31" s="22" t="str">
        <x:v>P7, P8</x:v>
      </x:c>
      <x:c r="E31" s="22" t="str">
        <x:v>Fees, payments, finance + HR, payroll, leave</x:v>
      </x:c>
      <x:c r="F31" s="22" t="str"/>
      <x:c r="G31" s="22" t="str">
        <x:v>Planned</x:v>
      </x:c>
      <x:c r="H31" s="22" t="str"/>
    </x:row>
    <x:row r="32">
      <x:c r="A32" s="22" t="str">
        <x:v>S29</x:v>
      </x:c>
      <x:c r="B32" s="23" t="n">
        <x:v>46678</x:v>
      </x:c>
      <x:c r="C32" s="23" t="n">
        <x:v>46691</x:v>
      </x:c>
      <x:c r="D32" s="22" t="str">
        <x:v>P8</x:v>
      </x:c>
      <x:c r="E32" s="22" t="str">
        <x:v>HR, payroll, leave</x:v>
      </x:c>
      <x:c r="F32" s="22" t="str">
        <x:v>School Beta</x:v>
      </x:c>
      <x:c r="G32" s="22" t="str">
        <x:v>Planned</x:v>
      </x:c>
      <x:c r="H32" s="22" t="str"/>
    </x:row>
    <x:row r="33">
      <x:c r="A33" s="22" t="str">
        <x:v>S30</x:v>
      </x:c>
      <x:c r="B33" s="23" t="n">
        <x:v>46692</x:v>
      </x:c>
      <x:c r="C33" s="23" t="n">
        <x:v>46705</x:v>
      </x:c>
      <x:c r="D33" s="22" t="str">
        <x:v>P8</x:v>
      </x:c>
      <x:c r="E33" s="22" t="str">
        <x:v>HR, payroll, leave</x:v>
      </x:c>
      <x:c r="F33" s="22" t="str"/>
      <x:c r="G33" s="22" t="str">
        <x:v>Planned</x:v>
      </x:c>
      <x:c r="H33" s="22" t="str"/>
    </x:row>
    <x:row r="34">
      <x:c r="A34" s="22" t="str">
        <x:v>S31</x:v>
      </x:c>
      <x:c r="B34" s="23" t="n">
        <x:v>46706</x:v>
      </x:c>
      <x:c r="C34" s="23" t="n">
        <x:v>46719</x:v>
      </x:c>
      <x:c r="D34" s="22" t="str">
        <x:v>P8, P9</x:v>
      </x:c>
      <x:c r="E34" s="22" t="str">
        <x:v>HR, payroll, leave + Library, transport, hostel, medical</x:v>
      </x:c>
      <x:c r="F34" s="22" t="str"/>
      <x:c r="G34" s="22" t="str">
        <x:v>Planned</x:v>
      </x:c>
      <x:c r="H34" s="22" t="str"/>
    </x:row>
    <x:row r="35">
      <x:c r="A35" s="22" t="str">
        <x:v>S32</x:v>
      </x:c>
      <x:c r="B35" s="23" t="n">
        <x:v>46720</x:v>
      </x:c>
      <x:c r="C35" s="23" t="n">
        <x:v>46733</x:v>
      </x:c>
      <x:c r="D35" s="22" t="str">
        <x:v>P9</x:v>
      </x:c>
      <x:c r="E35" s="22" t="str">
        <x:v>Library, transport, hostel, medical</x:v>
      </x:c>
      <x:c r="F35" s="22" t="str"/>
      <x:c r="G35" s="22" t="str">
        <x:v>Planned</x:v>
      </x:c>
      <x:c r="H35" s="22" t="str"/>
    </x:row>
    <x:row r="36">
      <x:c r="A36" s="22" t="str">
        <x:v>S33</x:v>
      </x:c>
      <x:c r="B36" s="23" t="n">
        <x:v>46734</x:v>
      </x:c>
      <x:c r="C36" s="23" t="n">
        <x:v>46747</x:v>
      </x:c>
      <x:c r="D36" s="22" t="str">
        <x:v>P9, P10</x:v>
      </x:c>
      <x:c r="E36" s="22" t="str">
        <x:v>Library, transport, hostel, medical + Offline, backup, resilience</x:v>
      </x:c>
      <x:c r="F36" s="22" t="str"/>
      <x:c r="G36" s="22" t="str">
        <x:v>Planned</x:v>
      </x:c>
      <x:c r="H36" s="22" t="str"/>
    </x:row>
    <x:row r="37">
      <x:c r="A37" s="22" t="str">
        <x:v>S34</x:v>
      </x:c>
      <x:c r="B37" s="23" t="n">
        <x:v>46748</x:v>
      </x:c>
      <x:c r="C37" s="23" t="n">
        <x:v>46761</x:v>
      </x:c>
      <x:c r="D37" s="22" t="str">
        <x:v>P9, P10</x:v>
      </x:c>
      <x:c r="E37" s="22" t="str">
        <x:v>Library, transport, hostel, medical + Offline, backup, resilience</x:v>
      </x:c>
      <x:c r="F37" s="22" t="str"/>
      <x:c r="G37" s="22" t="str">
        <x:v>Planned</x:v>
      </x:c>
      <x:c r="H37" s="22" t="str"/>
    </x:row>
    <x:row r="38">
      <x:c r="A38" s="22" t="str">
        <x:v>S35</x:v>
      </x:c>
      <x:c r="B38" s="23" t="n">
        <x:v>46762</x:v>
      </x:c>
      <x:c r="C38" s="23" t="n">
        <x:v>46775</x:v>
      </x:c>
      <x:c r="D38" s="22" t="str">
        <x:v>P10</x:v>
      </x:c>
      <x:c r="E38" s="22" t="str">
        <x:v>Offline, backup, resilience</x:v>
      </x:c>
      <x:c r="F38" s="22" t="str">
        <x:v>Feature Complete</x:v>
      </x:c>
      <x:c r="G38" s="22" t="str">
        <x:v>Planned</x:v>
      </x:c>
      <x:c r="H38" s="22" t="str"/>
    </x:row>
    <x:row r="39">
      <x:c r="A39" s="22" t="str">
        <x:v>S36</x:v>
      </x:c>
      <x:c r="B39" s="23" t="n">
        <x:v>46776</x:v>
      </x:c>
      <x:c r="C39" s="23" t="n">
        <x:v>46789</x:v>
      </x:c>
      <x:c r="D39" s="22" t="str">
        <x:v>P10, P11</x:v>
      </x:c>
      <x:c r="E39" s="22" t="str">
        <x:v>Offline, backup, resilience + Analytics, automation, AI</x:v>
      </x:c>
      <x:c r="F39" s="22" t="str"/>
      <x:c r="G39" s="22" t="str">
        <x:v>Planned</x:v>
      </x:c>
      <x:c r="H39" s="22" t="str"/>
    </x:row>
    <x:row r="40">
      <x:c r="A40" s="22" t="str">
        <x:v>S37</x:v>
      </x:c>
      <x:c r="B40" s="23" t="n">
        <x:v>46790</x:v>
      </x:c>
      <x:c r="C40" s="23" t="n">
        <x:v>46803</x:v>
      </x:c>
      <x:c r="D40" s="22" t="str">
        <x:v>P11</x:v>
      </x:c>
      <x:c r="E40" s="22" t="str">
        <x:v>Analytics, automation, AI</x:v>
      </x:c>
      <x:c r="F40" s="22" t="str">
        <x:v>Resilience Gate</x:v>
      </x:c>
      <x:c r="G40" s="22" t="str">
        <x:v>Planned</x:v>
      </x:c>
      <x:c r="H40" s="22" t="str"/>
    </x:row>
    <x:row r="41">
      <x:c r="A41" s="22" t="str">
        <x:v>S38</x:v>
      </x:c>
      <x:c r="B41" s="23" t="n">
        <x:v>46804</x:v>
      </x:c>
      <x:c r="C41" s="23" t="n">
        <x:v>46817</x:v>
      </x:c>
      <x:c r="D41" s="22" t="str">
        <x:v>P11</x:v>
      </x:c>
      <x:c r="E41" s="22" t="str">
        <x:v>Analytics, automation, AI</x:v>
      </x:c>
      <x:c r="F41" s="22" t="str"/>
      <x:c r="G41" s="22" t="str">
        <x:v>Planned</x:v>
      </x:c>
      <x:c r="H41" s="22" t="str"/>
    </x:row>
    <x:row r="42">
      <x:c r="A42" s="22" t="str">
        <x:v>S39</x:v>
      </x:c>
      <x:c r="B42" s="23" t="n">
        <x:v>46818</x:v>
      </x:c>
      <x:c r="C42" s="23" t="n">
        <x:v>46831</x:v>
      </x:c>
      <x:c r="D42" s="22" t="str">
        <x:v>P11, P12</x:v>
      </x:c>
      <x:c r="E42" s="22" t="str">
        <x:v>Analytics, automation, AI + UAT, security, launch</x:v>
      </x:c>
      <x:c r="F42" s="22" t="str">
        <x:v>Intelligence RC</x:v>
      </x:c>
      <x:c r="G42" s="22" t="str">
        <x:v>Planned</x:v>
      </x:c>
      <x:c r="H42" s="22" t="str"/>
    </x:row>
    <x:row r="43">
      <x:c r="A43" s="22" t="str">
        <x:v>S40</x:v>
      </x:c>
      <x:c r="B43" s="23" t="n">
        <x:v>46832</x:v>
      </x:c>
      <x:c r="C43" s="23" t="n">
        <x:v>46845</x:v>
      </x:c>
      <x:c r="D43" s="22" t="str">
        <x:v>P12</x:v>
      </x:c>
      <x:c r="E43" s="22" t="str">
        <x:v>UAT, security, launch</x:v>
      </x:c>
      <x:c r="F43" s="22" t="str"/>
      <x:c r="G43" s="22" t="str">
        <x:v>Planned</x:v>
      </x:c>
      <x:c r="H43" s="22" t="str"/>
    </x:row>
    <x:row r="44">
      <x:c r="A44" s="22" t="str">
        <x:v>S41</x:v>
      </x:c>
      <x:c r="B44" s="23" t="n">
        <x:v>46846</x:v>
      </x:c>
      <x:c r="C44" s="23" t="n">
        <x:v>46859</x:v>
      </x:c>
      <x:c r="D44" s="22" t="str">
        <x:v>P12</x:v>
      </x:c>
      <x:c r="E44" s="22" t="str">
        <x:v>UAT, security, launch</x:v>
      </x:c>
      <x:c r="F44" s="22" t="str">
        <x:v>GA Readiness</x:v>
      </x:c>
      <x:c r="G44" s="22" t="str">
        <x:v>Planned</x:v>
      </x:c>
      <x:c r="H44" s="22" t="str"/>
    </x:row>
    <x:row r="45">
      <x:c r="A45" s="22" t="str">
        <x:v>S42</x:v>
      </x:c>
      <x:c r="B45" s="23" t="n">
        <x:v>46860</x:v>
      </x:c>
      <x:c r="C45" s="23" t="n">
        <x:v>46860</x:v>
      </x:c>
      <x:c r="D45" s="22" t="str">
        <x:v>Launch/Support</x:v>
      </x:c>
      <x:c r="E45" s="22" t="str">
        <x:v>Integration</x:v>
      </x:c>
      <x:c r="F45" s="22" t="str">
        <x:v>General Availability</x:v>
      </x:c>
      <x:c r="G45" s="22" t="str">
        <x:v>Planned</x:v>
      </x:c>
      <x:c r="H45" s="22" t="str"/>
    </x:row>
  </x:sheetData>
  <x:mergeCells>
    <x:mergeCell ref="A1:H1"/>
  </x:mergeCells>
  <x:dataValidations count="1">
    <x:dataValidation type="list" sqref="G4:G45">
      <x:formula1>"Planned,Active,Completed,At Risk,Cancelled"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3447d9760b49c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3" hidden="0" customWidth="1"/>
    <x:col min="3" max="3" width="25" hidden="0" customWidth="1"/>
    <x:col min="4" max="4" width="45" hidden="0" customWidth="1"/>
    <x:col min="5" max="5" width="35" hidden="0" customWidth="1"/>
    <x:col min="6" max="6" width="38" hidden="0" customWidth="1"/>
    <x:col min="7" max="7" width="38" hidden="0" customWidth="1"/>
    <x:col min="8" max="8" width="32" hidden="0" customWidth="1"/>
    <x:col min="9" max="9" width="15" hidden="0" customWidth="1"/>
    <x:col min="10" max="10" width="13" hidden="0" customWidth="1"/>
  </x:cols>
  <x:sheetData>
    <x:row r="1">
      <x:c r="A1" s="5" t="str">
        <x:v>Release Strategy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4" t="str">
        <x:v>Release</x:v>
      </x:c>
      <x:c r="B3" s="14" t="str">
        <x:v>Target</x:v>
      </x:c>
      <x:c r="C3" s="14" t="str">
        <x:v>Audience</x:v>
      </x:c>
      <x:c r="D3" s="14" t="str">
        <x:v>Included Scope</x:v>
      </x:c>
      <x:c r="E3" s="14" t="str">
        <x:v>Excluded / Deferred</x:v>
      </x:c>
      <x:c r="F3" s="14" t="str">
        <x:v>Entry Criteria</x:v>
      </x:c>
      <x:c r="G3" s="14" t="str">
        <x:v>Exit Criteria</x:v>
      </x:c>
      <x:c r="H3" s="14" t="str">
        <x:v>Rollback</x:v>
      </x:c>
      <x:c r="I3" s="14" t="str">
        <x:v>Support Level</x:v>
      </x:c>
      <x:c r="J3" s="14" t="str">
        <x:v>Status</x:v>
      </x:c>
    </x:row>
    <x:row r="4">
      <x:c r="A4" s="22" t="str">
        <x:v>R0 Internal Foundation</x:v>
      </x:c>
      <x:c r="B4" s="23" t="n">
        <x:v>46430</x:v>
      </x:c>
      <x:c r="C4" s="22" t="str">
        <x:v>Development team</x:v>
      </x:c>
      <x:c r="D4" s="22" t="str">
        <x:v>Auth, RBAC, campus, academic foundation</x:v>
      </x:c>
      <x:c r="E4" s="22" t="str">
        <x:v>Business modules</x:v>
      </x:c>
      <x:c r="F4" s="22" t="str">
        <x:v>Architecture gate passed</x:v>
      </x:c>
      <x:c r="G4" s="22" t="str">
        <x:v>Foundation automated tests pass</x:v>
      </x:c>
      <x:c r="H4" s="22" t="str">
        <x:v>Revert migration in dev</x:v>
      </x:c>
      <x:c r="I4" s="22" t="str">
        <x:v>Engineering only</x:v>
      </x:c>
      <x:c r="J4" s="22" t="str">
        <x:v>Planned</x:v>
      </x:c>
    </x:row>
    <x:row r="5">
      <x:c r="A5" s="22" t="str">
        <x:v>R1 Student Alpha</x:v>
      </x:c>
      <x:c r="B5" s="23" t="n">
        <x:v>46486</x:v>
      </x:c>
      <x:c r="C5" s="22" t="str">
        <x:v>Internal + school SME</x:v>
      </x:c>
      <x:c r="D5" s="22" t="str">
        <x:v>Students, family, admissions, enrollment</x:v>
      </x:c>
      <x:c r="E5" s="22" t="str">
        <x:v>Finance/exams</x:v>
      </x:c>
      <x:c r="F5" s="22" t="str">
        <x:v>R0 stable</x:v>
      </x:c>
      <x:c r="G5" s="22" t="str">
        <x:v>Student lifecycle UAT passes</x:v>
      </x:c>
      <x:c r="H5" s="22" t="str">
        <x:v>Snapshot + migration rollback</x:v>
      </x:c>
      <x:c r="I5" s="22" t="str">
        <x:v>Internal</x:v>
      </x:c>
      <x:c r="J5" s="22" t="str">
        <x:v>Planned</x:v>
      </x:c>
    </x:row>
    <x:row r="6">
      <x:c r="A6" s="22" t="str">
        <x:v>R2 Operations Alpha</x:v>
      </x:c>
      <x:c r="B6" s="23" t="n">
        <x:v>46563</x:v>
      </x:c>
      <x:c r="C6" s="22" t="str">
        <x:v>Internal pilot users</x:v>
      </x:c>
      <x:c r="D6" s="22" t="str">
        <x:v>Timetable, attendance, homework, notifications</x:v>
      </x:c>
      <x:c r="E6" s="22" t="str">
        <x:v>Finance/AI</x:v>
      </x:c>
      <x:c r="F6" s="22" t="str">
        <x:v>R1 stable</x:v>
      </x:c>
      <x:c r="G6" s="22" t="str">
        <x:v>Teacher workflows pass</x:v>
      </x:c>
      <x:c r="H6" s="22" t="str">
        <x:v>Feature flag / rollback</x:v>
      </x:c>
      <x:c r="I6" s="22" t="str">
        <x:v>Pilot</x:v>
      </x:c>
      <x:c r="J6" s="22" t="str">
        <x:v>Planned</x:v>
      </x:c>
    </x:row>
    <x:row r="7">
      <x:c r="A7" s="22" t="str">
        <x:v>R3 Academic Pilot</x:v>
      </x:c>
      <x:c r="B7" s="23" t="n">
        <x:v>46619</x:v>
      </x:c>
      <x:c r="C7" s="22" t="str">
        <x:v>Selected school pilot</x:v>
      </x:c>
      <x:c r="D7" s="22" t="str">
        <x:v>Exams, marks, results</x:v>
      </x:c>
      <x:c r="E7" s="22" t="str">
        <x:v>Finance full suite</x:v>
      </x:c>
      <x:c r="F7" s="22" t="str">
        <x:v>R2 stable</x:v>
      </x:c>
      <x:c r="G7" s="22" t="str">
        <x:v>Exam lifecycle passes</x:v>
      </x:c>
      <x:c r="H7" s="22" t="str">
        <x:v>Restore snapshot + app rollback</x:v>
      </x:c>
      <x:c r="I7" s="22" t="str">
        <x:v>Pilot</x:v>
      </x:c>
      <x:c r="J7" s="22" t="str">
        <x:v>Planned</x:v>
      </x:c>
    </x:row>
    <x:row r="8">
      <x:c r="A8" s="22" t="str">
        <x:v>R4 School Beta</x:v>
      </x:c>
      <x:c r="B8" s="23" t="n">
        <x:v>46682</x:v>
      </x:c>
      <x:c r="C8" s="22" t="str">
        <x:v>Broader school team</x:v>
      </x:c>
      <x:c r="D8" s="22" t="str">
        <x:v>Finance/payments + core academic</x:v>
      </x:c>
      <x:c r="E8" s="22" t="str">
        <x:v>Advanced optional modules</x:v>
      </x:c>
      <x:c r="F8" s="22" t="str">
        <x:v>Financial test pack passes</x:v>
      </x:c>
      <x:c r="G8" s="22" t="str">
        <x:v>Reconciliation/UAT pass</x:v>
      </x:c>
      <x:c r="H8" s="22" t="str">
        <x:v>DB backup + app rollback</x:v>
      </x:c>
      <x:c r="I8" s="22" t="str">
        <x:v>Beta</x:v>
      </x:c>
      <x:c r="J8" s="22" t="str">
        <x:v>Planned</x:v>
      </x:c>
    </x:row>
    <x:row r="9">
      <x:c r="A9" s="22" t="str">
        <x:v>R5 Feature Complete</x:v>
      </x:c>
      <x:c r="B9" s="23" t="n">
        <x:v>46766</x:v>
      </x:c>
      <x:c r="C9" s="22" t="str">
        <x:v>Pilot customer</x:v>
      </x:c>
      <x:c r="D9" s="22" t="str">
        <x:v>HR + optional modules</x:v>
      </x:c>
      <x:c r="E9" s="22" t="str">
        <x:v>AI advanced</x:v>
      </x:c>
      <x:c r="F9" s="22" t="str">
        <x:v>R4 stable</x:v>
      </x:c>
      <x:c r="G9" s="22" t="str">
        <x:v>Module acceptance passes</x:v>
      </x:c>
      <x:c r="H9" s="22" t="str">
        <x:v>Module flags + backup</x:v>
      </x:c>
      <x:c r="I9" s="22" t="str">
        <x:v>Beta</x:v>
      </x:c>
      <x:c r="J9" s="22" t="str">
        <x:v>Planned</x:v>
      </x:c>
    </x:row>
    <x:row r="10">
      <x:c r="A10" s="22" t="str">
        <x:v>R6 Release Candidate</x:v>
      </x:c>
      <x:c r="B10" s="23" t="n">
        <x:v>46829</x:v>
      </x:c>
      <x:c r="C10" s="22" t="str">
        <x:v>Production-like pilot</x:v>
      </x:c>
      <x:c r="D10" s="22" t="str">
        <x:v>Offline, backup, analytics, automation, AI</x:v>
      </x:c>
      <x:c r="E10" s="22" t="str">
        <x:v>Deferred features</x:v>
      </x:c>
      <x:c r="F10" s="22" t="str">
        <x:v>Resilience gate passed</x:v>
      </x:c>
      <x:c r="G10" s="22" t="str">
        <x:v>Zero critical defects</x:v>
      </x:c>
      <x:c r="H10" s="22" t="str">
        <x:v>Full restore rehearsal</x:v>
      </x:c>
      <x:c r="I10" s="22" t="str">
        <x:v>RC</x:v>
      </x:c>
      <x:c r="J10" s="22" t="str">
        <x:v>Planned</x:v>
      </x:c>
    </x:row>
    <x:row r="11">
      <x:c r="A11" s="22" t="str">
        <x:v>R7 GA</x:v>
      </x:c>
      <x:c r="B11" s="23" t="n">
        <x:v>46860</x:v>
      </x:c>
      <x:c r="C11" s="22" t="str">
        <x:v>Production customers</x:v>
      </x:c>
      <x:c r="D11" s="22" t="str">
        <x:v>Full planned release</x:v>
      </x:c>
      <x:c r="E11" s="22" t="str">
        <x:v>GPS/biometrics/inventory/WhatsApp/payment gateway</x:v>
      </x:c>
      <x:c r="F11" s="22" t="str">
        <x:v>GA readiness gate</x:v>
      </x:c>
      <x:c r="G11" s="22" t="str">
        <x:v>Go/no-go approved</x:v>
      </x:c>
      <x:c r="H11" s="22" t="str">
        <x:v>Documented production rollback</x:v>
      </x:c>
      <x:c r="I11" s="22" t="str">
        <x:v>Production</x:v>
      </x:c>
      <x:c r="J11" s="22" t="str">
        <x:v>Planned</x:v>
      </x:c>
    </x:row>
  </x:sheetData>
  <x:mergeCells>
    <x:mergeCell ref="A1:J1"/>
  </x:mergeCells>
  <x:dataValidations count="1">
    <x:dataValidation type="list" sqref="J4:J11">
      <x:formula1>"Planned,In Progress,At Risk,Released,Cancelled"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7359a71bd2438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  <x:col min="3" max="3" width="11" hidden="0" customWidth="1"/>
    <x:col min="4" max="4" width="14" hidden="0" customWidth="1"/>
    <x:col min="5" max="5" width="13" hidden="0" customWidth="1"/>
    <x:col min="6" max="6" width="11" hidden="0" customWidth="1"/>
    <x:col min="7" max="7" width="16" hidden="0" customWidth="1"/>
    <x:col min="8" max="8" width="52" hidden="0" customWidth="1"/>
  </x:cols>
  <x:sheetData>
    <x:row r="1">
      <x:c r="A1" s="5" t="str">
        <x:v>Module Scope &amp; Release Mapping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Module</x:v>
      </x:c>
      <x:c r="B3" s="14" t="str">
        <x:v>Category</x:v>
      </x:c>
      <x:c r="C3" s="14" t="str">
        <x:v>Priority</x:v>
      </x:c>
      <x:c r="D3" s="14" t="str">
        <x:v>Planned Phase</x:v>
      </x:c>
      <x:c r="E3" s="14" t="str">
        <x:v>Release</x:v>
      </x:c>
      <x:c r="F3" s="14" t="str">
        <x:v>Optional?</x:v>
      </x:c>
      <x:c r="G3" s="14" t="str">
        <x:v>Current Decision</x:v>
      </x:c>
      <x:c r="H3" s="14" t="str">
        <x:v>Key Notes</x:v>
      </x:c>
    </x:row>
    <x:row r="4">
      <x:c r="A4" s="22" t="str">
        <x:v>SaaS Control Plane</x:v>
      </x:c>
      <x:c r="B4" s="22" t="str">
        <x:v>Platform</x:v>
      </x:c>
      <x:c r="C4" s="22" t="str">
        <x:v>Critical</x:v>
      </x:c>
      <x:c r="D4" s="22" t="str">
        <x:v>P1</x:v>
      </x:c>
      <x:c r="E4" s="22" t="str">
        <x:v>R0</x:v>
      </x:c>
      <x:c r="F4" s="22" t="str">
        <x:v>No</x:v>
      </x:c>
      <x:c r="G4" s="22" t="str">
        <x:v>Planned</x:v>
      </x:c>
      <x:c r="H4" s="22" t="str">
        <x:v>School routing, project/version metadata; no school operational data</x:v>
      </x:c>
    </x:row>
    <x:row r="5">
      <x:c r="A5" s="22" t="str">
        <x:v>Authentication</x:v>
      </x:c>
      <x:c r="B5" s="22" t="str">
        <x:v>Foundation</x:v>
      </x:c>
      <x:c r="C5" s="22" t="str">
        <x:v>Critical</x:v>
      </x:c>
      <x:c r="D5" s="22" t="str">
        <x:v>P2</x:v>
      </x:c>
      <x:c r="E5" s="22" t="str">
        <x:v>R0</x:v>
      </x:c>
      <x:c r="F5" s="22" t="str">
        <x:v>No</x:v>
      </x:c>
      <x:c r="G5" s="22" t="str">
        <x:v>Confirmed</x:v>
      </x:c>
      <x:c r="H5" s="22" t="str">
        <x:v>Email or admin-created username; school-generated ID retained</x:v>
      </x:c>
    </x:row>
    <x:row r="6">
      <x:c r="A6" s="22" t="str">
        <x:v>People &amp; Accounts</x:v>
      </x:c>
      <x:c r="B6" s="22" t="str">
        <x:v>Foundation</x:v>
      </x:c>
      <x:c r="C6" s="22" t="str">
        <x:v>Critical</x:v>
      </x:c>
      <x:c r="D6" s="22" t="str">
        <x:v>P2</x:v>
      </x:c>
      <x:c r="E6" s="22" t="str">
        <x:v>R0</x:v>
      </x:c>
      <x:c r="F6" s="22" t="str">
        <x:v>No</x:v>
      </x:c>
      <x:c r="G6" s="22" t="str">
        <x:v>Confirmed</x:v>
      </x:c>
      <x:c r="H6" s="22" t="str">
        <x:v>Person separated from login; one person may have multiple roles</x:v>
      </x:c>
    </x:row>
    <x:row r="7">
      <x:c r="A7" s="22" t="str">
        <x:v>Roles/Permissions/Scopes</x:v>
      </x:c>
      <x:c r="B7" s="22" t="str">
        <x:v>Foundation</x:v>
      </x:c>
      <x:c r="C7" s="22" t="str">
        <x:v>Critical</x:v>
      </x:c>
      <x:c r="D7" s="22" t="str">
        <x:v>P2</x:v>
      </x:c>
      <x:c r="E7" s="22" t="str">
        <x:v>R0</x:v>
      </x:c>
      <x:c r="F7" s="22" t="str">
        <x:v>No</x:v>
      </x:c>
      <x:c r="G7" s="22" t="str">
        <x:v>Confirmed</x:v>
      </x:c>
      <x:c r="H7" s="22" t="str">
        <x:v>Action + scope + approval authority</x:v>
      </x:c>
    </x:row>
    <x:row r="8">
      <x:c r="A8" s="22" t="str">
        <x:v>School Configuration</x:v>
      </x:c>
      <x:c r="B8" s="22" t="str">
        <x:v>Foundation</x:v>
      </x:c>
      <x:c r="C8" s="22" t="str">
        <x:v>Critical</x:v>
      </x:c>
      <x:c r="D8" s="22" t="str">
        <x:v>P2</x:v>
      </x:c>
      <x:c r="E8" s="22" t="str">
        <x:v>R0</x:v>
      </x:c>
      <x:c r="F8" s="22" t="str">
        <x:v>No</x:v>
      </x:c>
      <x:c r="G8" s="22" t="str">
        <x:v>Confirmed</x:v>
      </x:c>
      <x:c r="H8" s="22" t="str">
        <x:v>Name, code, logo, currency, timezone, numbering rules</x:v>
      </x:c>
    </x:row>
    <x:row r="9">
      <x:c r="A9" s="22" t="str">
        <x:v>Campuses</x:v>
      </x:c>
      <x:c r="B9" s="22" t="str">
        <x:v>Foundation</x:v>
      </x:c>
      <x:c r="C9" s="22" t="str">
        <x:v>Critical</x:v>
      </x:c>
      <x:c r="D9" s="22" t="str">
        <x:v>P2</x:v>
      </x:c>
      <x:c r="E9" s="22" t="str">
        <x:v>R0</x:v>
      </x:c>
      <x:c r="F9" s="22" t="str">
        <x:v>No</x:v>
      </x:c>
      <x:c r="G9" s="22" t="str">
        <x:v>Confirmed</x:v>
      </x:c>
      <x:c r="H9" s="22" t="str">
        <x:v>Separate campus scope with senior cross-campus view</x:v>
      </x:c>
    </x:row>
    <x:row r="10">
      <x:c r="A10" s="22" t="str">
        <x:v>Academic Years</x:v>
      </x:c>
      <x:c r="B10" s="22" t="str">
        <x:v>Academic</x:v>
      </x:c>
      <x:c r="C10" s="22" t="str">
        <x:v>Critical</x:v>
      </x:c>
      <x:c r="D10" s="22" t="str">
        <x:v>P2</x:v>
      </x:c>
      <x:c r="E10" s="22" t="str">
        <x:v>R0</x:v>
      </x:c>
      <x:c r="F10" s="22" t="str">
        <x:v>No</x:v>
      </x:c>
      <x:c r="G10" s="22" t="str">
        <x:v>Confirmed</x:v>
      </x:c>
      <x:c r="H10" s="22" t="str">
        <x:v>History preserved; active-year and multi-year access</x:v>
      </x:c>
    </x:row>
    <x:row r="11">
      <x:c r="A11" s="22" t="str">
        <x:v>Classes/Sections/Rooms</x:v>
      </x:c>
      <x:c r="B11" s="22" t="str">
        <x:v>Academic</x:v>
      </x:c>
      <x:c r="C11" s="22" t="str">
        <x:v>Critical</x:v>
      </x:c>
      <x:c r="D11" s="22" t="str">
        <x:v>P2</x:v>
      </x:c>
      <x:c r="E11" s="22" t="str">
        <x:v>R0</x:v>
      </x:c>
      <x:c r="F11" s="22" t="str">
        <x:v>No</x:v>
      </x:c>
      <x:c r="G11" s="22" t="str">
        <x:v>Confirmed</x:v>
      </x:c>
      <x:c r="H11" s="22" t="str">
        <x:v>Configurable levels, capacity, roll numbering</x:v>
      </x:c>
    </x:row>
    <x:row r="12">
      <x:c r="A12" s="22" t="str">
        <x:v>Students/Families</x:v>
      </x:c>
      <x:c r="B12" s="22" t="str">
        <x:v>Student</x:v>
      </x:c>
      <x:c r="C12" s="22" t="str">
        <x:v>Critical</x:v>
      </x:c>
      <x:c r="D12" s="22" t="str">
        <x:v>P3</x:v>
      </x:c>
      <x:c r="E12" s="22" t="str">
        <x:v>R1</x:v>
      </x:c>
      <x:c r="F12" s="22" t="str">
        <x:v>No</x:v>
      </x:c>
      <x:c r="G12" s="22" t="str">
        <x:v>Confirmed</x:v>
      </x:c>
      <x:c r="H12" s="22" t="str">
        <x:v>Shared family account and multiple children</x:v>
      </x:c>
    </x:row>
    <x:row r="13">
      <x:c r="A13" s="22" t="str">
        <x:v>Admissions</x:v>
      </x:c>
      <x:c r="B13" s="22" t="str">
        <x:v>Student</x:v>
      </x:c>
      <x:c r="C13" s="22" t="str">
        <x:v>High</x:v>
      </x:c>
      <x:c r="D13" s="22" t="str">
        <x:v>P3</x:v>
      </x:c>
      <x:c r="E13" s="22" t="str">
        <x:v>R1</x:v>
      </x:c>
      <x:c r="F13" s="22" t="str">
        <x:v>No</x:v>
      </x:c>
      <x:c r="G13" s="22" t="str">
        <x:v>Confirmed</x:v>
      </x:c>
      <x:c r="H13" s="22" t="str">
        <x:v>Configurable stages; some stages may be skipped</x:v>
      </x:c>
    </x:row>
    <x:row r="14">
      <x:c r="A14" s="22" t="str">
        <x:v>Enrollment/Promotion</x:v>
      </x:c>
      <x:c r="B14" s="22" t="str">
        <x:v>Student</x:v>
      </x:c>
      <x:c r="C14" s="22" t="str">
        <x:v>Critical</x:v>
      </x:c>
      <x:c r="D14" s="22" t="str">
        <x:v>P3</x:v>
      </x:c>
      <x:c r="E14" s="22" t="str">
        <x:v>R1</x:v>
      </x:c>
      <x:c r="F14" s="22" t="str">
        <x:v>No</x:v>
      </x:c>
      <x:c r="G14" s="22" t="str">
        <x:v>Confirmed</x:v>
      </x:c>
      <x:c r="H14" s="22" t="str">
        <x:v>New enrollment record each year; preserve history</x:v>
      </x:c>
    </x:row>
    <x:row r="15">
      <x:c r="A15" s="22" t="str">
        <x:v>Curriculum/Subjects</x:v>
      </x:c>
      <x:c r="B15" s="22" t="str">
        <x:v>Academic</x:v>
      </x:c>
      <x:c r="C15" s="22" t="str">
        <x:v>Critical</x:v>
      </x:c>
      <x:c r="D15" s="22" t="str">
        <x:v>P4</x:v>
      </x:c>
      <x:c r="E15" s="22" t="str">
        <x:v>R2</x:v>
      </x:c>
      <x:c r="F15" s="22" t="str">
        <x:v>No</x:v>
      </x:c>
      <x:c r="G15" s="22" t="str">
        <x:v>Confirmed</x:v>
      </x:c>
      <x:c r="H15" s="22" t="str">
        <x:v>Compulsory/optional/elective/practical/custom</x:v>
      </x:c>
    </x:row>
    <x:row r="16">
      <x:c r="A16" s="22" t="str">
        <x:v>Teachers/Assignments</x:v>
      </x:c>
      <x:c r="B16" s="22" t="str">
        <x:v>Academic</x:v>
      </x:c>
      <x:c r="C16" s="22" t="str">
        <x:v>Critical</x:v>
      </x:c>
      <x:c r="D16" s="22" t="str">
        <x:v>P4</x:v>
      </x:c>
      <x:c r="E16" s="22" t="str">
        <x:v>R2</x:v>
      </x:c>
      <x:c r="F16" s="22" t="str">
        <x:v>No</x:v>
      </x:c>
      <x:c r="G16" s="22" t="str">
        <x:v>Confirmed</x:v>
      </x:c>
      <x:c r="H16" s="22" t="str">
        <x:v>Different teacher per section; multi-campus supported</x:v>
      </x:c>
    </x:row>
    <x:row r="17">
      <x:c r="A17" s="22" t="str">
        <x:v>Timetable</x:v>
      </x:c>
      <x:c r="B17" s="22" t="str">
        <x:v>Academic</x:v>
      </x:c>
      <x:c r="C17" s="22" t="str">
        <x:v>High</x:v>
      </x:c>
      <x:c r="D17" s="22" t="str">
        <x:v>P4</x:v>
      </x:c>
      <x:c r="E17" s="22" t="str">
        <x:v>R2</x:v>
      </x:c>
      <x:c r="F17" s="22" t="str">
        <x:v>No</x:v>
      </x:c>
      <x:c r="G17" s="22" t="str">
        <x:v>Confirmed</x:v>
      </x:c>
      <x:c r="H17" s="22" t="str">
        <x:v>Automatic generation + manual adjustment</x:v>
      </x:c>
    </x:row>
    <x:row r="18">
      <x:c r="A18" s="22" t="str">
        <x:v>Attendance</x:v>
      </x:c>
      <x:c r="B18" s="22" t="str">
        <x:v>Operations</x:v>
      </x:c>
      <x:c r="C18" s="22" t="str">
        <x:v>Critical</x:v>
      </x:c>
      <x:c r="D18" s="22" t="str">
        <x:v>P5</x:v>
      </x:c>
      <x:c r="E18" s="22" t="str">
        <x:v>R2</x:v>
      </x:c>
      <x:c r="F18" s="22" t="str">
        <x:v>No</x:v>
      </x:c>
      <x:c r="G18" s="22" t="str">
        <x:v>Confirmed</x:v>
      </x:c>
      <x:c r="H18" s="22" t="str">
        <x:v>Morning + optional break; manual/QR; correction approval</x:v>
      </x:c>
    </x:row>
    <x:row r="19">
      <x:c r="A19" s="22" t="str">
        <x:v>Homework/Assignments</x:v>
      </x:c>
      <x:c r="B19" s="22" t="str">
        <x:v>Operations</x:v>
      </x:c>
      <x:c r="C19" s="22" t="str">
        <x:v>High</x:v>
      </x:c>
      <x:c r="D19" s="22" t="str">
        <x:v>P5</x:v>
      </x:c>
      <x:c r="E19" s="22" t="str">
        <x:v>R2</x:v>
      </x:c>
      <x:c r="F19" s="22" t="str">
        <x:v>No</x:v>
      </x:c>
      <x:c r="G19" s="22" t="str">
        <x:v>Confirmed</x:v>
      </x:c>
      <x:c r="H19" s="22" t="str">
        <x:v>Submission, feedback, marks, parent visibility</x:v>
      </x:c>
    </x:row>
    <x:row r="20">
      <x:c r="A20" s="22" t="str">
        <x:v>Notifications</x:v>
      </x:c>
      <x:c r="B20" s="22" t="str">
        <x:v>Platform</x:v>
      </x:c>
      <x:c r="C20" s="22" t="str">
        <x:v>High</x:v>
      </x:c>
      <x:c r="D20" s="22" t="str">
        <x:v>P5/P11</x:v>
      </x:c>
      <x:c r="E20" s="22" t="str">
        <x:v>R2/R6</x:v>
      </x:c>
      <x:c r="F20" s="22" t="str">
        <x:v>No</x:v>
      </x:c>
      <x:c r="G20" s="22" t="str">
        <x:v>Confirmed</x:v>
      </x:c>
      <x:c r="H20" s="22" t="str">
        <x:v>In-app, push, email; WhatsApp later</x:v>
      </x:c>
    </x:row>
    <x:row r="21">
      <x:c r="A21" s="22" t="str">
        <x:v>Exams/Results</x:v>
      </x:c>
      <x:c r="B21" s="22" t="str">
        <x:v>Academic</x:v>
      </x:c>
      <x:c r="C21" s="22" t="str">
        <x:v>Critical</x:v>
      </x:c>
      <x:c r="D21" s="22" t="str">
        <x:v>P6</x:v>
      </x:c>
      <x:c r="E21" s="22" t="str">
        <x:v>R3</x:v>
      </x:c>
      <x:c r="F21" s="22" t="str">
        <x:v>No</x:v>
      </x:c>
      <x:c r="G21" s="22" t="str">
        <x:v>Confirmed</x:v>
      </x:c>
      <x:c r="H21" s="22" t="str">
        <x:v>Custom assessment, approval, publish, lock</x:v>
      </x:c>
    </x:row>
    <x:row r="22">
      <x:c r="A22" s="22" t="str">
        <x:v>Fees/Payments</x:v>
      </x:c>
      <x:c r="B22" s="22" t="str">
        <x:v>Finance</x:v>
      </x:c>
      <x:c r="C22" s="22" t="str">
        <x:v>Critical</x:v>
      </x:c>
      <x:c r="D22" s="22" t="str">
        <x:v>P7</x:v>
      </x:c>
      <x:c r="E22" s="22" t="str">
        <x:v>R4</x:v>
      </x:c>
      <x:c r="F22" s="22" t="str">
        <x:v>No</x:v>
      </x:c>
      <x:c r="G22" s="22" t="str">
        <x:v>Confirmed</x:v>
      </x:c>
      <x:c r="H22" s="22" t="str">
        <x:v>No hard delete; dynamic invoice/receipt PDFs</x:v>
      </x:c>
    </x:row>
    <x:row r="23">
      <x:c r="A23" s="22" t="str">
        <x:v>HR/Payroll/Leave</x:v>
      </x:c>
      <x:c r="B23" s="22" t="str">
        <x:v>Administration</x:v>
      </x:c>
      <x:c r="C23" s="22" t="str">
        <x:v>High</x:v>
      </x:c>
      <x:c r="D23" s="22" t="str">
        <x:v>P8</x:v>
      </x:c>
      <x:c r="E23" s="22" t="str">
        <x:v>R5</x:v>
      </x:c>
      <x:c r="F23" s="22" t="str">
        <x:v>Optional</x:v>
      </x:c>
      <x:c r="G23" s="22" t="str">
        <x:v>Confirmed</x:v>
      </x:c>
      <x:c r="H23" s="22" t="str">
        <x:v>Monthly payroll; configurable approvals</x:v>
      </x:c>
    </x:row>
    <x:row r="24">
      <x:c r="A24" s="22" t="str">
        <x:v>Library</x:v>
      </x:c>
      <x:c r="B24" s="22" t="str">
        <x:v>Student Life</x:v>
      </x:c>
      <x:c r="C24" s="22" t="str">
        <x:v>Medium</x:v>
      </x:c>
      <x:c r="D24" s="22" t="str">
        <x:v>P9</x:v>
      </x:c>
      <x:c r="E24" s="22" t="str">
        <x:v>R5</x:v>
      </x:c>
      <x:c r="F24" s="22" t="str">
        <x:v>Optional</x:v>
      </x:c>
      <x:c r="G24" s="22" t="str">
        <x:v>Confirmed</x:v>
      </x:c>
      <x:c r="H24" s="22" t="str">
        <x:v>Borrow/purchase/history</x:v>
      </x:c>
    </x:row>
    <x:row r="25">
      <x:c r="A25" s="22" t="str">
        <x:v>Transport</x:v>
      </x:c>
      <x:c r="B25" s="22" t="str">
        <x:v>Student Life</x:v>
      </x:c>
      <x:c r="C25" s="22" t="str">
        <x:v>Medium</x:v>
      </x:c>
      <x:c r="D25" s="22" t="str">
        <x:v>P9</x:v>
      </x:c>
      <x:c r="E25" s="22" t="str">
        <x:v>R5</x:v>
      </x:c>
      <x:c r="F25" s="22" t="str">
        <x:v>Optional</x:v>
      </x:c>
      <x:c r="G25" s="22" t="str">
        <x:v>Confirmed</x:v>
      </x:c>
      <x:c r="H25" s="22" t="str">
        <x:v>Routes and bus attendance; GPS later</x:v>
      </x:c>
    </x:row>
    <x:row r="26">
      <x:c r="A26" s="22" t="str">
        <x:v>Hostel</x:v>
      </x:c>
      <x:c r="B26" s="22" t="str">
        <x:v>Student Life</x:v>
      </x:c>
      <x:c r="C26" s="22" t="str">
        <x:v>Medium</x:v>
      </x:c>
      <x:c r="D26" s="22" t="str">
        <x:v>P9</x:v>
      </x:c>
      <x:c r="E26" s="22" t="str">
        <x:v>R5</x:v>
      </x:c>
      <x:c r="F26" s="22" t="str">
        <x:v>Optional</x:v>
      </x:c>
      <x:c r="G26" s="22" t="str">
        <x:v>Confirmed</x:v>
      </x:c>
      <x:c r="H26" s="22" t="str">
        <x:v>Building/floor/room/bed/student allocation</x:v>
      </x:c>
    </x:row>
    <x:row r="27">
      <x:c r="A27" s="22" t="str">
        <x:v>Medical</x:v>
      </x:c>
      <x:c r="B27" s="22" t="str">
        <x:v>Student Life</x:v>
      </x:c>
      <x:c r="C27" s="22" t="str">
        <x:v>High</x:v>
      </x:c>
      <x:c r="D27" s="22" t="str">
        <x:v>P9</x:v>
      </x:c>
      <x:c r="E27" s="22" t="str">
        <x:v>R5</x:v>
      </x:c>
      <x:c r="F27" s="22" t="str">
        <x:v>Optional</x:v>
      </x:c>
      <x:c r="G27" s="22" t="str">
        <x:v>Confirmed</x:v>
      </x:c>
      <x:c r="H27" s="22" t="str">
        <x:v>Strict permissions</x:v>
      </x:c>
    </x:row>
    <x:row r="28">
      <x:c r="A28" s="22" t="str">
        <x:v>Offline Sync</x:v>
      </x:c>
      <x:c r="B28" s="22" t="str">
        <x:v>Platform</x:v>
      </x:c>
      <x:c r="C28" s="22" t="str">
        <x:v>Critical</x:v>
      </x:c>
      <x:c r="D28" s="22" t="str">
        <x:v>P10</x:v>
      </x:c>
      <x:c r="E28" s="22" t="str">
        <x:v>R6</x:v>
      </x:c>
      <x:c r="F28" s="22" t="str">
        <x:v>No</x:v>
      </x:c>
      <x:c r="G28" s="22" t="str">
        <x:v>Confirmed</x:v>
      </x:c>
      <x:c r="H28" s="22" t="str">
        <x:v>Encrypted cache + conflict detection</x:v>
      </x:c>
    </x:row>
    <x:row r="29">
      <x:c r="A29" s="22" t="str">
        <x:v>Backup/Recovery</x:v>
      </x:c>
      <x:c r="B29" s="22" t="str">
        <x:v>Platform</x:v>
      </x:c>
      <x:c r="C29" s="22" t="str">
        <x:v>Critical</x:v>
      </x:c>
      <x:c r="D29" s="22" t="str">
        <x:v>P10</x:v>
      </x:c>
      <x:c r="E29" s="22" t="str">
        <x:v>R6</x:v>
      </x:c>
      <x:c r="F29" s="22" t="str">
        <x:v>No</x:v>
      </x:c>
      <x:c r="G29" s="22" t="str">
        <x:v>Confirmed</x:v>
      </x:c>
      <x:c r="H29" s="22" t="str">
        <x:v>DB/config/deployment backup</x:v>
      </x:c>
    </x:row>
    <x:row r="30">
      <x:c r="A30" s="22" t="str">
        <x:v>Reports/Search/Analytics</x:v>
      </x:c>
      <x:c r="B30" s="22" t="str">
        <x:v>Platform</x:v>
      </x:c>
      <x:c r="C30" s="22" t="str">
        <x:v>High</x:v>
      </x:c>
      <x:c r="D30" s="22" t="str">
        <x:v>P11</x:v>
      </x:c>
      <x:c r="E30" s="22" t="str">
        <x:v>R6</x:v>
      </x:c>
      <x:c r="F30" s="22" t="str">
        <x:v>No</x:v>
      </x:c>
      <x:c r="G30" s="22" t="str">
        <x:v>Confirmed</x:v>
      </x:c>
      <x:c r="H30" s="22" t="str">
        <x:v>Permission-aware</x:v>
      </x:c>
    </x:row>
    <x:row r="31">
      <x:c r="A31" s="22" t="str">
        <x:v>Automation Engine</x:v>
      </x:c>
      <x:c r="B31" s="22" t="str">
        <x:v>Platform</x:v>
      </x:c>
      <x:c r="C31" s="22" t="str">
        <x:v>High</x:v>
      </x:c>
      <x:c r="D31" s="22" t="str">
        <x:v>P11</x:v>
      </x:c>
      <x:c r="E31" s="22" t="str">
        <x:v>R6</x:v>
      </x:c>
      <x:c r="F31" s="22" t="str">
        <x:v>No</x:v>
      </x:c>
      <x:c r="G31" s="22" t="str">
        <x:v>Confirmed</x:v>
      </x:c>
      <x:c r="H31" s="22" t="str">
        <x:v>Immediate/scheduled/event triggered</x:v>
      </x:c>
    </x:row>
    <x:row r="32">
      <x:c r="A32" s="22" t="str">
        <x:v>AI Engine</x:v>
      </x:c>
      <x:c r="B32" s="22" t="str">
        <x:v>Platform</x:v>
      </x:c>
      <x:c r="C32" s="22" t="str">
        <x:v>High</x:v>
      </x:c>
      <x:c r="D32" s="22" t="str">
        <x:v>P11</x:v>
      </x:c>
      <x:c r="E32" s="22" t="str">
        <x:v>R6</x:v>
      </x:c>
      <x:c r="F32" s="22" t="str">
        <x:v>Optional</x:v>
      </x:c>
      <x:c r="G32" s="22" t="str">
        <x:v>Confirmed</x:v>
      </x:c>
      <x:c r="H32" s="22" t="str">
        <x:v>Permission-aware AI; conversations retained</x:v>
      </x:c>
    </x:row>
    <x:row r="33">
      <x:c r="A33" s="22" t="str">
        <x:v>Inventory</x:v>
      </x:c>
      <x:c r="B33" s="22" t="str">
        <x:v>Deferred</x:v>
      </x:c>
      <x:c r="C33" s="22" t="str">
        <x:v>Low</x:v>
      </x:c>
      <x:c r="D33" s="22" t="str">
        <x:v>Future</x:v>
      </x:c>
      <x:c r="E33" s="22" t="str">
        <x:v>Future</x:v>
      </x:c>
      <x:c r="F33" s="22" t="str">
        <x:v>Optional</x:v>
      </x:c>
      <x:c r="G33" s="22" t="str">
        <x:v>Deferred</x:v>
      </x:c>
      <x:c r="H33" s="22" t="str">
        <x:v>Not in first priority</x:v>
      </x:c>
    </x:row>
    <x:row r="34">
      <x:c r="A34" s="22" t="str">
        <x:v>GPS/Biometrics/WhatsApp/Payment Gateway</x:v>
      </x:c>
      <x:c r="B34" s="22" t="str">
        <x:v>Deferred</x:v>
      </x:c>
      <x:c r="C34" s="22" t="str">
        <x:v>Low</x:v>
      </x:c>
      <x:c r="D34" s="22" t="str">
        <x:v>Future</x:v>
      </x:c>
      <x:c r="E34" s="22" t="str">
        <x:v>Future</x:v>
      </x:c>
      <x:c r="F34" s="22" t="str">
        <x:v>Optional</x:v>
      </x:c>
      <x:c r="G34" s="22" t="str">
        <x:v>Deferred</x:v>
      </x:c>
      <x:c r="H34" s="22" t="str">
        <x:v>Architecture should not block later work</x:v>
      </x:c>
    </x:row>
  </x:sheetData>
  <x:mergeCells>
    <x:mergeCell ref="A1:H1"/>
  </x:mergeCells>
  <x:dataValidations count="1">
    <x:dataValidation type="list" sqref="C4:C34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fd2229320c460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43" hidden="0" customWidth="1"/>
    <x:col min="3" max="3" width="16" hidden="0" customWidth="1"/>
    <x:col min="4" max="4" width="12" hidden="0" customWidth="1"/>
    <x:col min="5" max="5" width="10" hidden="0" customWidth="1"/>
    <x:col min="6" max="6" width="9" hidden="0" customWidth="1"/>
    <x:col min="7" max="7" width="22" hidden="0" customWidth="1"/>
    <x:col min="8" max="8" width="48" hidden="0" customWidth="1"/>
    <x:col min="9" max="9" width="38" hidden="0" customWidth="1"/>
    <x:col min="10" max="10" width="42" hidden="0" customWidth="1"/>
    <x:col min="11" max="11" width="12" hidden="0" customWidth="1"/>
    <x:col min="12" max="12" width="13" hidden="0" customWidth="1"/>
  </x:cols>
  <x:sheetData>
    <x:row r="1">
      <x:c r="A1" s="5" t="str">
        <x:v>Risk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4" t="str">
        <x:v>ID</x:v>
      </x:c>
      <x:c r="B3" s="14" t="str">
        <x:v>Risk</x:v>
      </x:c>
      <x:c r="C3" s="14" t="str">
        <x:v>Category</x:v>
      </x:c>
      <x:c r="D3" s="14" t="str">
        <x:v>Probability</x:v>
      </x:c>
      <x:c r="E3" s="14" t="str">
        <x:v>Impact</x:v>
      </x:c>
      <x:c r="F3" s="14" t="str">
        <x:v>Score</x:v>
      </x:c>
      <x:c r="G3" s="14" t="str">
        <x:v>Owner</x:v>
      </x:c>
      <x:c r="H3" s="14" t="str">
        <x:v>Mitigation</x:v>
      </x:c>
      <x:c r="I3" s="14" t="str">
        <x:v>Trigger / Indicator</x:v>
      </x:c>
      <x:c r="J3" s="14" t="str">
        <x:v>Contingency</x:v>
      </x:c>
      <x:c r="K3" s="14" t="str">
        <x:v>Status</x:v>
      </x:c>
      <x:c r="L3" s="14" t="str">
        <x:v>Review Date</x:v>
      </x:c>
    </x:row>
    <x:row r="4">
      <x:c r="A4" s="22" t="str">
        <x:v>R-01</x:v>
      </x:c>
      <x:c r="B4" s="22" t="str">
        <x:v>Scope grows faster than delivery capacity</x:v>
      </x:c>
      <x:c r="C4" s="22" t="str">
        <x:v>Scope</x:v>
      </x:c>
      <x:c r="D4" s="22" t="n">
        <x:v>4</x:v>
      </x:c>
      <x:c r="E4" s="22" t="n">
        <x:v>5</x:v>
      </x:c>
      <x:c r="F4" s="22" t="n">
        <x:v>20</x:v>
      </x:c>
      <x:c r="G4" s="22" t="str">
        <x:v>Product Owner</x:v>
      </x:c>
      <x:c r="H4" s="22" t="str">
        <x:v>Use module/release gates; defer non-core features</x:v>
      </x:c>
      <x:c r="I4" s="22" t="str">
        <x:v>Frequent additions inside active sprint</x:v>
      </x:c>
      <x:c r="J4" s="22" t="str">
        <x:v>Move feature to later release</x:v>
      </x:c>
      <x:c r="K4" s="22" t="str">
        <x:v>Open</x:v>
      </x:c>
      <x:c r="L4" s="23" t="n">
        <x:v>46297</x:v>
      </x:c>
    </x:row>
    <x:row r="5">
      <x:c r="A5" s="22" t="str">
        <x:v>R-02</x:v>
      </x:c>
      <x:c r="B5" s="22" t="str">
        <x:v>Premature schema decisions create expensive migrations</x:v>
      </x:c>
      <x:c r="C5" s="22" t="str">
        <x:v>Architecture</x:v>
      </x:c>
      <x:c r="D5" s="22" t="n">
        <x:v>3</x:v>
      </x:c>
      <x:c r="E5" s="22" t="n">
        <x:v>5</x:v>
      </x:c>
      <x:c r="F5" s="22" t="n">
        <x:v>15</x:v>
      </x:c>
      <x:c r="G5" s="22" t="str">
        <x:v>Lead Engineer</x:v>
      </x:c>
      <x:c r="H5" s="22" t="str">
        <x:v>Design dependency order; ADRs; migration rehearsal</x:v>
      </x:c>
      <x:c r="I5" s="22" t="str">
        <x:v>Repeated destructive migrations</x:v>
      </x:c>
      <x:c r="J5" s="22" t="str">
        <x:v>Pause feature work and refactor foundation</x:v>
      </x:c>
      <x:c r="K5" s="22" t="str">
        <x:v>Open</x:v>
      </x:c>
      <x:c r="L5" s="23" t="n">
        <x:v>46311</x:v>
      </x:c>
    </x:row>
    <x:row r="6">
      <x:c r="A6" s="22" t="str">
        <x:v>R-03</x:v>
      </x:c>
      <x:c r="B6" s="22" t="str">
        <x:v>RLS misconfiguration exposes sensitive school data</x:v>
      </x:c>
      <x:c r="C6" s="22" t="str">
        <x:v>Security</x:v>
      </x:c>
      <x:c r="D6" s="22" t="n">
        <x:v>2</x:v>
      </x:c>
      <x:c r="E6" s="22" t="n">
        <x:v>5</x:v>
      </x:c>
      <x:c r="F6" s="22" t="n">
        <x:v>10</x:v>
      </x:c>
      <x:c r="G6" s="22" t="str">
        <x:v>Lead Engineer</x:v>
      </x:c>
      <x:c r="H6" s="22" t="str">
        <x:v>Default deny; automated permission tests; security review</x:v>
      </x:c>
      <x:c r="I6" s="22" t="str">
        <x:v>Unexpected cross-role access</x:v>
      </x:c>
      <x:c r="J6" s="22" t="str">
        <x:v>Disable affected feature and patch policy</x:v>
      </x:c>
      <x:c r="K6" s="22" t="str">
        <x:v>Open</x:v>
      </x:c>
      <x:c r="L6" s="23" t="n">
        <x:v>46367</x:v>
      </x:c>
    </x:row>
    <x:row r="7">
      <x:c r="A7" s="22" t="str">
        <x:v>R-04</x:v>
      </x:c>
      <x:c r="B7" s="22" t="str">
        <x:v>Offline conflicts corrupt attendance or finance</x:v>
      </x:c>
      <x:c r="C7" s="22" t="str">
        <x:v>Data</x:v>
      </x:c>
      <x:c r="D7" s="22" t="n">
        <x:v>3</x:v>
      </x:c>
      <x:c r="E7" s="22" t="n">
        <x:v>5</x:v>
      </x:c>
      <x:c r="F7" s="22" t="n">
        <x:v>15</x:v>
      </x:c>
      <x:c r="G7" s="22" t="str">
        <x:v>Lead Engineer</x:v>
      </x:c>
      <x:c r="H7" s="22" t="str">
        <x:v>Conflict detection; idempotency; no silent last-write-wins</x:v>
      </x:c>
      <x:c r="I7" s="22" t="str">
        <x:v>Duplicate/conflicting sync events</x:v>
      </x:c>
      <x:c r="J7" s="22" t="str">
        <x:v>Quarantine conflicts for admin resolution</x:v>
      </x:c>
      <x:c r="K7" s="22" t="str">
        <x:v>Open</x:v>
      </x:c>
      <x:c r="L7" s="23" t="n">
        <x:v>46736</x:v>
      </x:c>
    </x:row>
    <x:row r="8">
      <x:c r="A8" s="22" t="str">
        <x:v>R-05</x:v>
      </x:c>
      <x:c r="B8" s="22" t="str">
        <x:v>Financial corrections become untraceable</x:v>
      </x:c>
      <x:c r="C8" s="22" t="str">
        <x:v>Finance</x:v>
      </x:c>
      <x:c r="D8" s="22" t="n">
        <x:v>2</x:v>
      </x:c>
      <x:c r="E8" s="22" t="n">
        <x:v>5</x:v>
      </x:c>
      <x:c r="F8" s="22" t="n">
        <x:v>10</x:v>
      </x:c>
      <x:c r="G8" s="22" t="str">
        <x:v>Lead Engineer</x:v>
      </x:c>
      <x:c r="H8" s="22" t="str">
        <x:v>No hard delete; reversal + approval + audit</x:v>
      </x:c>
      <x:c r="I8" s="22" t="str">
        <x:v>Manual database edits requested</x:v>
      </x:c>
      <x:c r="J8" s="22" t="str">
        <x:v>Restrict direct SQL and reconcile ledger</x:v>
      </x:c>
      <x:c r="K8" s="22" t="str">
        <x:v>Open</x:v>
      </x:c>
      <x:c r="L8" s="23" t="n">
        <x:v>46614</x:v>
      </x:c>
    </x:row>
    <x:row r="9">
      <x:c r="A9" s="22" t="str">
        <x:v>R-06</x:v>
      </x:c>
      <x:c r="B9" s="22" t="str">
        <x:v>One-person development becomes schedule bottleneck</x:v>
      </x:c>
      <x:c r="C9" s="22" t="str">
        <x:v>Resource</x:v>
      </x:c>
      <x:c r="D9" s="22" t="n">
        <x:v>4</x:v>
      </x:c>
      <x:c r="E9" s="22" t="n">
        <x:v>4</x:v>
      </x:c>
      <x:c r="F9" s="22" t="n">
        <x:v>16</x:v>
      </x:c>
      <x:c r="G9" s="22" t="str">
        <x:v>Product Owner</x:v>
      </x:c>
      <x:c r="H9" s="22" t="str">
        <x:v>Keep priorities strict; automate testing; document architecture</x:v>
      </x:c>
      <x:c r="I9" s="22" t="str">
        <x:v>Critical path slips &gt;2 sprints</x:v>
      </x:c>
      <x:c r="J9" s="22" t="str">
        <x:v>Add QA/dev support or move release date</x:v>
      </x:c>
      <x:c r="K9" s="22" t="str">
        <x:v>Open</x:v>
      </x:c>
      <x:c r="L9" s="23" t="n">
        <x:v>46327</x:v>
      </x:c>
    </x:row>
    <x:row r="10">
      <x:c r="A10" s="22" t="str">
        <x:v>R-07</x:v>
      </x:c>
      <x:c r="B10" s="22" t="str">
        <x:v>AI reveals data user cannot normally access</x:v>
      </x:c>
      <x:c r="C10" s="22" t="str">
        <x:v>AI/Security</x:v>
      </x:c>
      <x:c r="D10" s="22" t="n">
        <x:v>2</x:v>
      </x:c>
      <x:c r="E10" s="22" t="n">
        <x:v>5</x:v>
      </x:c>
      <x:c r="F10" s="22" t="n">
        <x:v>10</x:v>
      </x:c>
      <x:c r="G10" s="22" t="str">
        <x:v>Lead Engineer</x:v>
      </x:c>
      <x:c r="H10" s="22" t="str">
        <x:v>AI uses permission-aware query/service layer</x:v>
      </x:c>
      <x:c r="I10" s="22" t="str">
        <x:v>AI response contains unauthorized fields</x:v>
      </x:c>
      <x:c r="J10" s="22" t="str">
        <x:v>Disable AI endpoint and audit access</x:v>
      </x:c>
      <x:c r="K10" s="22" t="str">
        <x:v>Open</x:v>
      </x:c>
      <x:c r="L10" s="23" t="n">
        <x:v>46798</x:v>
      </x:c>
    </x:row>
    <x:row r="11">
      <x:c r="A11" s="22" t="str">
        <x:v>R-08</x:v>
      </x:c>
      <x:c r="B11" s="22" t="str">
        <x:v>Generated reports/PDFs consume excessive storage</x:v>
      </x:c>
      <x:c r="C11" s="22" t="str">
        <x:v>Storage</x:v>
      </x:c>
      <x:c r="D11" s="22" t="n">
        <x:v>1</x:v>
      </x:c>
      <x:c r="E11" s="22" t="n">
        <x:v>3</x:v>
      </x:c>
      <x:c r="F11" s="22" t="n">
        <x:v>3</x:v>
      </x:c>
      <x:c r="G11" s="22" t="str">
        <x:v>Lead Engineer</x:v>
      </x:c>
      <x:c r="H11" s="22" t="str">
        <x:v>Generate on demand; do not auto-store generated PDFs</x:v>
      </x:c>
      <x:c r="I11" s="22" t="str">
        <x:v>Bucket growth exceeds plan</x:v>
      </x:c>
      <x:c r="J11" s="22" t="str">
        <x:v>Purge temporary files</x:v>
      </x:c>
      <x:c r="K11" s="22" t="str">
        <x:v>Open</x:v>
      </x:c>
      <x:c r="L11" s="23" t="n">
        <x:v>46600</x:v>
      </x:c>
    </x:row>
    <x:row r="12">
      <x:c r="A12" s="22" t="str">
        <x:v>R-09</x:v>
      </x:c>
      <x:c r="B12" s="22" t="str">
        <x:v>Uploaded documents exceed storage or performance limits</x:v>
      </x:c>
      <x:c r="C12" s="22" t="str">
        <x:v>Storage</x:v>
      </x:c>
      <x:c r="D12" s="22" t="n">
        <x:v>3</x:v>
      </x:c>
      <x:c r="E12" s="22" t="n">
        <x:v>3</x:v>
      </x:c>
      <x:c r="F12" s="22" t="n">
        <x:v>9</x:v>
      </x:c>
      <x:c r="G12" s="22" t="str">
        <x:v>Lead Engineer</x:v>
      </x:c>
      <x:c r="H12" s="22" t="str">
        <x:v>Compress/resize; 1 MB limit; structured buckets</x:v>
      </x:c>
      <x:c r="I12" s="22" t="str">
        <x:v>High rejection/compression failure rate</x:v>
      </x:c>
      <x:c r="J12" s="22" t="str">
        <x:v>Adjust supported file strategy</x:v>
      </x:c>
      <x:c r="K12" s="22" t="str">
        <x:v>Open</x:v>
      </x:c>
      <x:c r="L12" s="23" t="n">
        <x:v>46461</x:v>
      </x:c>
    </x:row>
    <x:row r="13">
      <x:c r="A13" s="22" t="str">
        <x:v>R-10</x:v>
      </x:c>
      <x:c r="B13" s="22" t="str">
        <x:v>Timetable auto-generation complexity delays release</x:v>
      </x:c>
      <x:c r="C13" s="22" t="str">
        <x:v>Algorithm</x:v>
      </x:c>
      <x:c r="D13" s="22" t="n">
        <x:v>3</x:v>
      </x:c>
      <x:c r="E13" s="22" t="n">
        <x:v>3</x:v>
      </x:c>
      <x:c r="F13" s="22" t="n">
        <x:v>9</x:v>
      </x:c>
      <x:c r="G13" s="22" t="str">
        <x:v>Lead Engineer</x:v>
      </x:c>
      <x:c r="H13" s="22" t="str">
        <x:v>Manual timetable remains supported; stage optimizer</x:v>
      </x:c>
      <x:c r="I13" s="22" t="str">
        <x:v>Generator fails valid schedules</x:v>
      </x:c>
      <x:c r="J13" s="22" t="str">
        <x:v>Ship manual-first with assisted conflict detection</x:v>
      </x:c>
      <x:c r="K13" s="22" t="str">
        <x:v>Open</x:v>
      </x:c>
      <x:c r="L13" s="23" t="n">
        <x:v>46478</x:v>
      </x:c>
    </x:row>
    <x:row r="14">
      <x:c r="A14" s="22" t="str">
        <x:v>R-11</x:v>
      </x:c>
      <x:c r="B14" s="22" t="str">
        <x:v>Shared family login weakens action attribution</x:v>
      </x:c>
      <x:c r="C14" s="22" t="str">
        <x:v>Security</x:v>
      </x:c>
      <x:c r="D14" s="22" t="n">
        <x:v>3</x:v>
      </x:c>
      <x:c r="E14" s="22" t="n">
        <x:v>3</x:v>
      </x:c>
      <x:c r="F14" s="22" t="n">
        <x:v>9</x:v>
      </x:c>
      <x:c r="G14" s="22" t="str">
        <x:v>Product Owner</x:v>
      </x:c>
      <x:c r="H14" s="22" t="str">
        <x:v>Treat as family role by design; log account/device/session</x:v>
      </x:c>
      <x:c r="I14" s="22" t="str">
        <x:v>Dispute over who submitted action</x:v>
      </x:c>
      <x:c r="J14" s="22" t="str">
        <x:v>Require confirmation for sensitive parent actions</x:v>
      </x:c>
      <x:c r="K14" s="22" t="str">
        <x:v>Accepted</x:v>
      </x:c>
      <x:c r="L14" s="23" t="n">
        <x:v>46433</x:v>
      </x:c>
    </x:row>
    <x:row r="15">
      <x:c r="A15" s="22" t="str">
        <x:v>R-12</x:v>
      </x:c>
      <x:c r="B15" s="22" t="str">
        <x:v>Email app-password setup becomes unreliable</x:v>
      </x:c>
      <x:c r="C15" s="22" t="str">
        <x:v>Integration</x:v>
      </x:c>
      <x:c r="D15" s="22" t="n">
        <x:v>3</x:v>
      </x:c>
      <x:c r="E15" s="22" t="n">
        <x:v>3</x:v>
      </x:c>
      <x:c r="F15" s="22" t="n">
        <x:v>9</x:v>
      </x:c>
      <x:c r="G15" s="22" t="str">
        <x:v>Lead Engineer</x:v>
      </x:c>
      <x:c r="H15" s="22" t="str">
        <x:v>Abstract email provider; later support managed provider</x:v>
      </x:c>
      <x:c r="I15" s="22" t="str">
        <x:v>Delivery failures/bounces</x:v>
      </x:c>
      <x:c r="J15" s="22" t="str">
        <x:v>Switch provider without changing domain logic</x:v>
      </x:c>
      <x:c r="K15" s="22" t="str">
        <x:v>Open</x:v>
      </x:c>
      <x:c r="L15" s="23" t="n">
        <x:v>46539</x:v>
      </x:c>
    </x:row>
    <x:row r="16">
      <x:c r="A16" s="22" t="str">
        <x:v>R-13</x:v>
      </x:c>
      <x:c r="B16" s="22" t="str">
        <x:v>Customer-specific customizations fork the codebase</x:v>
      </x:c>
      <x:c r="C16" s="22" t="str">
        <x:v>Product</x:v>
      </x:c>
      <x:c r="D16" s="22" t="n">
        <x:v>3</x:v>
      </x:c>
      <x:c r="E16" s="22" t="n">
        <x:v>5</x:v>
      </x:c>
      <x:c r="F16" s="22" t="n">
        <x:v>15</x:v>
      </x:c>
      <x:c r="G16" s="22" t="str">
        <x:v>Product Owner</x:v>
      </x:c>
      <x:c r="H16" s="22" t="str">
        <x:v>Use configuration/feature flags, not customer branches</x:v>
      </x:c>
      <x:c r="I16" s="22" t="str">
        <x:v>One-off code requested</x:v>
      </x:c>
      <x:c r="J16" s="22" t="str">
        <x:v>Reject fork; add configurable setting</x:v>
      </x:c>
      <x:c r="K16" s="22" t="str">
        <x:v>Open</x:v>
      </x:c>
      <x:c r="L16" s="23" t="n">
        <x:v>46388</x:v>
      </x:c>
    </x:row>
    <x:row r="17">
      <x:c r="A17" s="22" t="str">
        <x:v>R-14</x:v>
      </x:c>
      <x:c r="B17" s="22" t="str">
        <x:v>Database migrations differ across school projects</x:v>
      </x:c>
      <x:c r="C17" s="22" t="str">
        <x:v>Deployment</x:v>
      </x:c>
      <x:c r="D17" s="22" t="n">
        <x:v>3</x:v>
      </x:c>
      <x:c r="E17" s="22" t="n">
        <x:v>5</x:v>
      </x:c>
      <x:c r="F17" s="22" t="n">
        <x:v>15</x:v>
      </x:c>
      <x:c r="G17" s="22" t="str">
        <x:v>Lead Engineer</x:v>
      </x:c>
      <x:c r="H17" s="22" t="str">
        <x:v>Schema version table; migration log; automated rollout checks</x:v>
      </x:c>
      <x:c r="I17" s="22" t="str">
        <x:v>Different schema versions detected</x:v>
      </x:c>
      <x:c r="J17" s="22" t="str">
        <x:v>Block app update until migration repaired</x:v>
      </x:c>
      <x:c r="K17" s="22" t="str">
        <x:v>Open</x:v>
      </x:c>
      <x:c r="L17" s="23" t="n">
        <x:v>46722</x:v>
      </x:c>
    </x:row>
    <x:row r="18">
      <x:c r="A18" s="22" t="str">
        <x:v>R-15</x:v>
      </x:c>
      <x:c r="B18" s="22" t="str">
        <x:v>Backups exist but restore process is untested</x:v>
      </x:c>
      <x:c r="C18" s="22" t="str">
        <x:v>Recovery</x:v>
      </x:c>
      <x:c r="D18" s="22" t="n">
        <x:v>2</x:v>
      </x:c>
      <x:c r="E18" s="22" t="n">
        <x:v>5</x:v>
      </x:c>
      <x:c r="F18" s="22" t="n">
        <x:v>10</x:v>
      </x:c>
      <x:c r="G18" s="22" t="str">
        <x:v>Lead Engineer / QA</x:v>
      </x:c>
      <x:c r="H18" s="22" t="str">
        <x:v>Scheduled restore drills</x:v>
      </x:c>
      <x:c r="I18" s="22" t="str">
        <x:v>Restore rehearsal fails</x:v>
      </x:c>
      <x:c r="J18" s="22" t="str">
        <x:v>Fix runbook before GA</x:v>
      </x:c>
      <x:c r="K18" s="22" t="str">
        <x:v>Open</x:v>
      </x:c>
      <x:c r="L18" s="23" t="n">
        <x:v>46753</x:v>
      </x:c>
    </x:row>
    <x:row r="19">
      <x:c r="A19" s="22" t="str">
        <x:v>R-16</x:v>
      </x:c>
      <x:c r="B19" s="22" t="str">
        <x:v>Performance degrades with years of attendance/results</x:v>
      </x:c>
      <x:c r="C19" s="22" t="str">
        <x:v>Performance</x:v>
      </x:c>
      <x:c r="D19" s="22" t="n">
        <x:v>3</x:v>
      </x:c>
      <x:c r="E19" s="22" t="n">
        <x:v>4</x:v>
      </x:c>
      <x:c r="F19" s="22" t="n">
        <x:v>12</x:v>
      </x:c>
      <x:c r="G19" s="22" t="str">
        <x:v>Lead Engineer</x:v>
      </x:c>
      <x:c r="H19" s="22" t="str">
        <x:v>Indexing, pagination, archival strategy, query plans</x:v>
      </x:c>
      <x:c r="I19" s="22" t="str">
        <x:v>Slow dashboard/report &gt; target</x:v>
      </x:c>
      <x:c r="J19" s="22" t="str">
        <x:v>Optimize queries/indexes</x:v>
      </x:c>
      <x:c r="K19" s="22" t="str">
        <x:v>Open</x:v>
      </x:c>
      <x:c r="L19" s="23" t="n">
        <x:v>46784</x:v>
      </x:c>
    </x:row>
    <x:row r="20">
      <x:c r="A20" s="22" t="str">
        <x:v>R-17</x:v>
      </x:c>
      <x:c r="B20" s="22" t="str">
        <x:v>Approval engine becomes too generic and difficult to maintain</x:v>
      </x:c>
      <x:c r="C20" s="22" t="str">
        <x:v>Workflow</x:v>
      </x:c>
      <x:c r="D20" s="22" t="n">
        <x:v>3</x:v>
      </x:c>
      <x:c r="E20" s="22" t="n">
        <x:v>4</x:v>
      </x:c>
      <x:c r="F20" s="22" t="n">
        <x:v>12</x:v>
      </x:c>
      <x:c r="G20" s="22" t="str">
        <x:v>Lead Engineer</x:v>
      </x:c>
      <x:c r="H20" s="22" t="str">
        <x:v>Common core + typed request handlers; avoid arbitrary JSON-only model</x:v>
      </x:c>
      <x:c r="I20" s="22" t="str">
        <x:v>Many module-specific hacks</x:v>
      </x:c>
      <x:c r="J20" s="22" t="str">
        <x:v>Refactor workflow contracts</x:v>
      </x:c>
      <x:c r="K20" s="22" t="str">
        <x:v>Open</x:v>
      </x:c>
      <x:c r="L20" s="23" t="n">
        <x:v>46508</x:v>
      </x:c>
    </x:row>
    <x:row r="21">
      <x:c r="A21" s="22" t="str">
        <x:v>R-18</x:v>
      </x:c>
      <x:c r="B21" s="22" t="str">
        <x:v>Audit log volume grows rapidly</x:v>
      </x:c>
      <x:c r="C21" s="22" t="str">
        <x:v>Data</x:v>
      </x:c>
      <x:c r="D21" s="22" t="n">
        <x:v>3</x:v>
      </x:c>
      <x:c r="E21" s="22" t="n">
        <x:v>3</x:v>
      </x:c>
      <x:c r="F21" s="22" t="n">
        <x:v>9</x:v>
      </x:c>
      <x:c r="G21" s="22" t="str">
        <x:v>Lead Engineer</x:v>
      </x:c>
      <x:c r="H21" s="22" t="str">
        <x:v>Structured audit retention/partition strategy later</x:v>
      </x:c>
      <x:c r="I21" s="22" t="str">
        <x:v>Audit queries slow</x:v>
      </x:c>
      <x:c r="J21" s="22" t="str">
        <x:v>Archive/export old audit data under policy</x:v>
      </x:c>
      <x:c r="K21" s="22" t="str">
        <x:v>Open</x:v>
      </x:c>
      <x:c r="L21" s="23" t="n">
        <x:v>46753</x:v>
      </x:c>
    </x:row>
    <x:row r="22">
      <x:c r="A22" s="22" t="str">
        <x:v>R-19</x:v>
      </x:c>
      <x:c r="B22" s="22" t="str">
        <x:v>School users reject workflows as too complex</x:v>
      </x:c>
      <x:c r="C22" s="22" t="str">
        <x:v>UX</x:v>
      </x:c>
      <x:c r="D22" s="22" t="n">
        <x:v>3</x:v>
      </x:c>
      <x:c r="E22" s="22" t="n">
        <x:v>4</x:v>
      </x:c>
      <x:c r="F22" s="22" t="n">
        <x:v>12</x:v>
      </x:c>
      <x:c r="G22" s="22" t="str">
        <x:v>Product Owner / SME</x:v>
      </x:c>
      <x:c r="H22" s="22" t="str">
        <x:v>Role-based dashboards, defaults, pilot feedback</x:v>
      </x:c>
      <x:c r="I22" s="22" t="str">
        <x:v>Support requests for basic tasks</x:v>
      </x:c>
      <x:c r="J22" s="22" t="str">
        <x:v>Simplify screens without weakening controls</x:v>
      </x:c>
      <x:c r="K22" s="22" t="str">
        <x:v>Open</x:v>
      </x:c>
      <x:c r="L22" s="23" t="n">
        <x:v>46539</x:v>
      </x:c>
    </x:row>
    <x:row r="23">
      <x:c r="A23" s="22" t="str">
        <x:v>R-20</x:v>
      </x:c>
      <x:c r="B23" s="22" t="str">
        <x:v>Supabase plan limits or costs change</x:v>
      </x:c>
      <x:c r="C23" s="22" t="str">
        <x:v>Vendor</x:v>
      </x:c>
      <x:c r="D23" s="22" t="n">
        <x:v>2</x:v>
      </x:c>
      <x:c r="E23" s="22" t="n">
        <x:v>4</x:v>
      </x:c>
      <x:c r="F23" s="22" t="n">
        <x:v>8</x:v>
      </x:c>
      <x:c r="G23" s="22" t="str">
        <x:v>Product Owner</x:v>
      </x:c>
      <x:c r="H23" s="22" t="str">
        <x:v>Monitor usage/cost; keep portable PostgreSQL schema</x:v>
      </x:c>
      <x:c r="I23" s="22" t="str">
        <x:v>Unexpected cost growth</x:v>
      </x:c>
      <x:c r="J23" s="22" t="str">
        <x:v>Tune usage or revise deployment tier</x:v>
      </x:c>
      <x:c r="K23" s="22" t="str">
        <x:v>Open</x:v>
      </x:c>
      <x:c r="L23" s="23" t="n">
        <x:v>46661</x:v>
      </x:c>
    </x:row>
  </x:sheetData>
  <x:mergeCells>
    <x:mergeCell ref="A1:L1"/>
  </x:mergeCells>
  <x:conditionalFormatting sqref="F4:F23">
    <x:cfRule type="colorScale" priority="1">
      <x:colorScale>
        <x:cfvo type="min"/>
        <x:cfvo type="percentile" val="50"/>
        <x:cfvo type="max"/>
        <x:color rgb="FFE2F0D9"/>
        <x:color rgb="FFFFF2CC"/>
        <x:color rgb="FFF4CCCC"/>
      </x:colorScale>
    </x:cfRule>
  </x:conditionalFormatting>
  <x:dataValidations count="3">
    <x:dataValidation type="list" sqref="D4:D23">
      <x:formula1>"1,2,3,4,5"</x:formula1>
    </x:dataValidation>
    <x:dataValidation type="list" sqref="E4:E23">
      <x:formula1>"1,2,3,4,5"</x:formula1>
    </x:dataValidation>
    <x:dataValidation type="list" sqref="K4:K23">
      <x:formula1>"Open,Mitigating,Accepted,Closed"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480c4a996444c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0" hidden="0" customWidth="1"/>
    <x:col min="5" max="5" width="15" hidden="0" customWidth="1"/>
    <x:col min="6" max="6" width="18" hidden="0" customWidth="1"/>
    <x:col min="7" max="7" width="18" hidden="0" customWidth="1"/>
    <x:col min="8" max="8" width="15" hidden="0" customWidth="1"/>
  </x:cols>
  <x:sheetData>
    <x:row r="1">
      <x:c r="A1" s="5" t="str">
        <x:v>RACI Responsibility Matrix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Activity</x:v>
      </x:c>
      <x:c r="B3" s="14" t="str">
        <x:v>Product Owner</x:v>
      </x:c>
      <x:c r="C3" s="14" t="str">
        <x:v>Lead Engineer</x:v>
      </x:c>
      <x:c r="D3" s="14" t="str">
        <x:v>QA</x:v>
      </x:c>
      <x:c r="E3" s="14" t="str">
        <x:v>School SME</x:v>
      </x:c>
      <x:c r="F3" s="14" t="str">
        <x:v>Exam Controller</x:v>
      </x:c>
      <x:c r="G3" s="14" t="str">
        <x:v>Finance/Admin</x:v>
      </x:c>
      <x:c r="H3" s="14" t="str">
        <x:v>Ops/Support</x:v>
      </x:c>
    </x:row>
    <x:row r="4">
      <x:c r="A4" s="22" t="str">
        <x:v>Requirements &amp; scope</x:v>
      </x:c>
      <x:c r="B4" s="22" t="str">
        <x:v>A</x:v>
      </x:c>
      <x:c r="C4" s="22" t="str">
        <x:v>R</x:v>
      </x:c>
      <x:c r="D4" s="22" t="str">
        <x:v>C</x:v>
      </x:c>
      <x:c r="E4" s="22" t="str">
        <x:v>C</x:v>
      </x:c>
      <x:c r="F4" s="22" t="str">
        <x:v>C</x:v>
      </x:c>
      <x:c r="G4" s="22" t="str">
        <x:v>C</x:v>
      </x:c>
      <x:c r="H4" s="22" t="str">
        <x:v>I</x:v>
      </x:c>
    </x:row>
    <x:row r="5">
      <x:c r="A5" s="22" t="str">
        <x:v>Architecture decisions</x:v>
      </x:c>
      <x:c r="B5" s="22" t="str">
        <x:v>C</x:v>
      </x:c>
      <x:c r="C5" s="22" t="str">
        <x:v>A/R</x:v>
      </x:c>
      <x:c r="D5" s="22" t="str">
        <x:v>C</x:v>
      </x:c>
      <x:c r="E5" s="22" t="str">
        <x:v>I</x:v>
      </x:c>
      <x:c r="F5" s="22" t="str">
        <x:v>I</x:v>
      </x:c>
      <x:c r="G5" s="22" t="str">
        <x:v>I</x:v>
      </x:c>
      <x:c r="H5" s="22" t="str">
        <x:v>I</x:v>
      </x:c>
    </x:row>
    <x:row r="6">
      <x:c r="A6" s="22" t="str">
        <x:v>Database schema &amp; migrations</x:v>
      </x:c>
      <x:c r="B6" s="22" t="str">
        <x:v>I</x:v>
      </x:c>
      <x:c r="C6" s="22" t="str">
        <x:v>A/R</x:v>
      </x:c>
      <x:c r="D6" s="22" t="str">
        <x:v>C</x:v>
      </x:c>
      <x:c r="E6" s="22" t="str">
        <x:v>I</x:v>
      </x:c>
      <x:c r="F6" s="22" t="str">
        <x:v>I</x:v>
      </x:c>
      <x:c r="G6" s="22" t="str">
        <x:v>I</x:v>
      </x:c>
      <x:c r="H6" s="22" t="str">
        <x:v>I</x:v>
      </x:c>
    </x:row>
    <x:row r="7">
      <x:c r="A7" s="22" t="str">
        <x:v>Security/RLS model</x:v>
      </x:c>
      <x:c r="B7" s="22" t="str">
        <x:v>I</x:v>
      </x:c>
      <x:c r="C7" s="22" t="str">
        <x:v>A/R</x:v>
      </x:c>
      <x:c r="D7" s="22" t="str">
        <x:v>C</x:v>
      </x:c>
      <x:c r="E7" s="22" t="str">
        <x:v>I</x:v>
      </x:c>
      <x:c r="F7" s="22" t="str">
        <x:v>I</x:v>
      </x:c>
      <x:c r="G7" s="22" t="str">
        <x:v>I</x:v>
      </x:c>
      <x:c r="H7" s="22" t="str">
        <x:v>I</x:v>
      </x:c>
    </x:row>
    <x:row r="8">
      <x:c r="A8" s="22" t="str">
        <x:v>UX/workflow validation</x:v>
      </x:c>
      <x:c r="B8" s="22" t="str">
        <x:v>A</x:v>
      </x:c>
      <x:c r="C8" s="22" t="str">
        <x:v>R</x:v>
      </x:c>
      <x:c r="D8" s="22" t="str">
        <x:v>C</x:v>
      </x:c>
      <x:c r="E8" s="22" t="str">
        <x:v>C</x:v>
      </x:c>
      <x:c r="F8" s="22" t="str">
        <x:v>C</x:v>
      </x:c>
      <x:c r="G8" s="22" t="str">
        <x:v>C</x:v>
      </x:c>
      <x:c r="H8" s="22" t="str">
        <x:v>I</x:v>
      </x:c>
    </x:row>
    <x:row r="9">
      <x:c r="A9" s="22" t="str">
        <x:v>Academic configuration</x:v>
      </x:c>
      <x:c r="B9" s="22" t="str">
        <x:v>I</x:v>
      </x:c>
      <x:c r="C9" s="22" t="str">
        <x:v>R</x:v>
      </x:c>
      <x:c r="D9" s="22" t="str">
        <x:v>C</x:v>
      </x:c>
      <x:c r="E9" s="22" t="str">
        <x:v>A/C</x:v>
      </x:c>
      <x:c r="F9" s="22" t="str">
        <x:v>C</x:v>
      </x:c>
      <x:c r="G9" s="22" t="str">
        <x:v>I</x:v>
      </x:c>
      <x:c r="H9" s="22" t="str">
        <x:v>I</x:v>
      </x:c>
    </x:row>
    <x:row r="10">
      <x:c r="A10" s="22" t="str">
        <x:v>Attendance acceptance</x:v>
      </x:c>
      <x:c r="B10" s="22" t="str">
        <x:v>I</x:v>
      </x:c>
      <x:c r="C10" s="22" t="str">
        <x:v>R</x:v>
      </x:c>
      <x:c r="D10" s="22" t="str">
        <x:v>C</x:v>
      </x:c>
      <x:c r="E10" s="22" t="str">
        <x:v>A/C</x:v>
      </x:c>
      <x:c r="F10" s="22" t="str">
        <x:v>I</x:v>
      </x:c>
      <x:c r="G10" s="22" t="str">
        <x:v>I</x:v>
      </x:c>
      <x:c r="H10" s="22" t="str">
        <x:v>I</x:v>
      </x:c>
    </x:row>
    <x:row r="11">
      <x:c r="A11" s="22" t="str">
        <x:v>Exam/result workflow</x:v>
      </x:c>
      <x:c r="B11" s="22" t="str">
        <x:v>I</x:v>
      </x:c>
      <x:c r="C11" s="22" t="str">
        <x:v>R</x:v>
      </x:c>
      <x:c r="D11" s="22" t="str">
        <x:v>C</x:v>
      </x:c>
      <x:c r="E11" s="22" t="str">
        <x:v>C</x:v>
      </x:c>
      <x:c r="F11" s="22" t="str">
        <x:v>A</x:v>
      </x:c>
      <x:c r="G11" s="22" t="str">
        <x:v>I</x:v>
      </x:c>
      <x:c r="H11" s="22" t="str">
        <x:v>I</x:v>
      </x:c>
    </x:row>
    <x:row r="12">
      <x:c r="A12" s="22" t="str">
        <x:v>Finance workflow</x:v>
      </x:c>
      <x:c r="B12" s="22" t="str">
        <x:v>I</x:v>
      </x:c>
      <x:c r="C12" s="22" t="str">
        <x:v>R</x:v>
      </x:c>
      <x:c r="D12" s="22" t="str">
        <x:v>C</x:v>
      </x:c>
      <x:c r="E12" s="22" t="str">
        <x:v>C</x:v>
      </x:c>
      <x:c r="F12" s="22" t="str">
        <x:v>I</x:v>
      </x:c>
      <x:c r="G12" s="22" t="str">
        <x:v>A/C</x:v>
      </x:c>
      <x:c r="H12" s="22" t="str">
        <x:v>I</x:v>
      </x:c>
    </x:row>
    <x:row r="13">
      <x:c r="A13" s="22" t="str">
        <x:v>HR/payroll workflow</x:v>
      </x:c>
      <x:c r="B13" s="22" t="str">
        <x:v>I</x:v>
      </x:c>
      <x:c r="C13" s="22" t="str">
        <x:v>R</x:v>
      </x:c>
      <x:c r="D13" s="22" t="str">
        <x:v>C</x:v>
      </x:c>
      <x:c r="E13" s="22" t="str">
        <x:v>C</x:v>
      </x:c>
      <x:c r="F13" s="22" t="str">
        <x:v>I</x:v>
      </x:c>
      <x:c r="G13" s="22" t="str">
        <x:v>A/C</x:v>
      </x:c>
      <x:c r="H13" s="22" t="str">
        <x:v>I</x:v>
      </x:c>
    </x:row>
    <x:row r="14">
      <x:c r="A14" s="22" t="str">
        <x:v>Release testing</x:v>
      </x:c>
      <x:c r="B14" s="22" t="str">
        <x:v>I</x:v>
      </x:c>
      <x:c r="C14" s="22" t="str">
        <x:v>R</x:v>
      </x:c>
      <x:c r="D14" s="22" t="str">
        <x:v>A</x:v>
      </x:c>
      <x:c r="E14" s="22" t="str">
        <x:v>C</x:v>
      </x:c>
      <x:c r="F14" s="22" t="str">
        <x:v>C</x:v>
      </x:c>
      <x:c r="G14" s="22" t="str">
        <x:v>C</x:v>
      </x:c>
      <x:c r="H14" s="22" t="str">
        <x:v>I</x:v>
      </x:c>
    </x:row>
    <x:row r="15">
      <x:c r="A15" s="22" t="str">
        <x:v>Go/no-go decision</x:v>
      </x:c>
      <x:c r="B15" s="22" t="str">
        <x:v>A</x:v>
      </x:c>
      <x:c r="C15" s="22" t="str">
        <x:v>R</x:v>
      </x:c>
      <x:c r="D15" s="22" t="str">
        <x:v>C</x:v>
      </x:c>
      <x:c r="E15" s="22" t="str">
        <x:v>C</x:v>
      </x:c>
      <x:c r="F15" s="22" t="str">
        <x:v>C</x:v>
      </x:c>
      <x:c r="G15" s="22" t="str">
        <x:v>C</x:v>
      </x:c>
      <x:c r="H15" s="22" t="str">
        <x:v>I</x:v>
      </x:c>
    </x:row>
    <x:row r="16">
      <x:c r="A16" s="22" t="str">
        <x:v>Production incident response</x:v>
      </x:c>
      <x:c r="B16" s="22" t="str">
        <x:v>I</x:v>
      </x:c>
      <x:c r="C16" s="22" t="str">
        <x:v>A/R</x:v>
      </x:c>
      <x:c r="D16" s="22" t="str">
        <x:v>R</x:v>
      </x:c>
      <x:c r="E16" s="22" t="str">
        <x:v>I</x:v>
      </x:c>
      <x:c r="F16" s="22" t="str">
        <x:v>I</x:v>
      </x:c>
      <x:c r="G16" s="22" t="str">
        <x:v>I</x:v>
      </x:c>
      <x:c r="H16" s="22" t="str">
        <x:v>R</x:v>
      </x:c>
    </x:row>
    <x:row r="17">
      <x:c r="A17" s="22" t="str">
        <x:v>Customer onboarding/deployment</x:v>
      </x:c>
      <x:c r="B17" s="22" t="str">
        <x:v>A</x:v>
      </x:c>
      <x:c r="C17" s="22" t="str">
        <x:v>R</x:v>
      </x:c>
      <x:c r="D17" s="22" t="str">
        <x:v>C</x:v>
      </x:c>
      <x:c r="E17" s="22" t="str">
        <x:v>C</x:v>
      </x:c>
      <x:c r="F17" s="22" t="str">
        <x:v>I</x:v>
      </x:c>
      <x:c r="G17" s="22" t="str">
        <x:v>I</x:v>
      </x:c>
      <x:c r="H17" s="22" t="str">
        <x:v>R</x:v>
      </x:c>
    </x:row>
    <x:row r="18">
      <x:c r="A18" s="22" t="str">
        <x:v>Change control</x:v>
      </x:c>
      <x:c r="B18" s="22" t="str">
        <x:v>A</x:v>
      </x:c>
      <x:c r="C18" s="22" t="str">
        <x:v>R</x:v>
      </x:c>
      <x:c r="D18" s="22" t="str">
        <x:v>C</x:v>
      </x:c>
      <x:c r="E18" s="22" t="str">
        <x:v>C</x:v>
      </x:c>
      <x:c r="F18" s="22" t="str">
        <x:v>C</x:v>
      </x:c>
      <x:c r="G18" s="22" t="str">
        <x:v>C</x:v>
      </x:c>
      <x:c r="H18" s="22" t="str">
        <x:v>I</x:v>
      </x:c>
    </x:row>
  </x:sheetData>
  <x:mergeCells>
    <x:mergeCell ref="A1:H1"/>
  </x:mergeCells>
  <x:dataValidations count="1">
    <x:dataValidation type="list" sqref="B4:H18">
      <x:formula1>"R,A,C,I,A/R,A/C,-"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18" hidden="0" customWidth="1"/>
    <x:col min="4" max="4" width="24" hidden="0" customWidth="1"/>
    <x:col min="5" max="5" width="12" hidden="0" customWidth="1"/>
    <x:col min="6" max="6" width="12" hidden="0" customWidth="1"/>
    <x:col min="7" max="7" width="40" hidden="0" customWidth="1"/>
    <x:col min="8" max="8" width="30" hidden="0" customWidth="1"/>
    <x:col min="9" max="9" width="13" hidden="0" customWidth="1"/>
    <x:col min="10" max="10" width="35" hidden="0" customWidth="1"/>
  </x:cols>
  <x:sheetData>
    <x:row r="1">
      <x:c r="A1" s="5" t="str">
        <x:v>Quality, Test &amp; Release Gates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4" t="str">
        <x:v>Area</x:v>
      </x:c>
      <x:c r="B3" s="14" t="str">
        <x:v>Minimum Test Scope</x:v>
      </x:c>
      <x:c r="C3" s="14" t="str">
        <x:v>When</x:v>
      </x:c>
      <x:c r="D3" s="14" t="str">
        <x:v>Owner</x:v>
      </x:c>
      <x:c r="E3" s="14" t="str">
        <x:v>Automate?</x:v>
      </x:c>
      <x:c r="F3" s="14" t="str">
        <x:v>Blocking?</x:v>
      </x:c>
      <x:c r="G3" s="14" t="str">
        <x:v>Pass Criteria</x:v>
      </x:c>
      <x:c r="H3" s="14" t="str">
        <x:v>Evidence</x:v>
      </x:c>
      <x:c r="I3" s="14" t="str">
        <x:v>Status</x:v>
      </x:c>
      <x:c r="J3" s="14" t="str">
        <x:v>Notes</x:v>
      </x:c>
    </x:row>
    <x:row r="4">
      <x:c r="A4" s="22" t="str">
        <x:v>Database migrations</x:v>
      </x:c>
      <x:c r="B4" s="22" t="str">
        <x:v>Fresh install + upgrade from previous schema</x:v>
      </x:c>
      <x:c r="C4" s="22" t="str">
        <x:v>Every migration</x:v>
      </x:c>
      <x:c r="D4" s="22" t="str">
        <x:v>Lead Engineer</x:v>
      </x:c>
      <x:c r="E4" s="22" t="str">
        <x:v>Yes</x:v>
      </x:c>
      <x:c r="F4" s="22" t="str">
        <x:v>Yes</x:v>
      </x:c>
      <x:c r="G4" s="22" t="str">
        <x:v>Repeatable, no data loss</x:v>
      </x:c>
      <x:c r="H4" s="22" t="str">
        <x:v>CI logs / migration report</x:v>
      </x:c>
      <x:c r="I4" s="22" t="str">
        <x:v>Planned</x:v>
      </x:c>
      <x:c r="J4" s="22" t="str"/>
    </x:row>
    <x:row r="5">
      <x:c r="A5" s="22" t="str">
        <x:v>RLS / authorization</x:v>
      </x:c>
      <x:c r="B5" s="22" t="str">
        <x:v>Positive + negative role/scope tests</x:v>
      </x:c>
      <x:c r="C5" s="22" t="str">
        <x:v>Every security change</x:v>
      </x:c>
      <x:c r="D5" s="22" t="str">
        <x:v>Lead Engineer / QA</x:v>
      </x:c>
      <x:c r="E5" s="22" t="str">
        <x:v>Yes</x:v>
      </x:c>
      <x:c r="F5" s="22" t="str">
        <x:v>Yes</x:v>
      </x:c>
      <x:c r="G5" s="22" t="str">
        <x:v>No unauthorized rows/actions</x:v>
      </x:c>
      <x:c r="H5" s="22" t="str">
        <x:v>Automated test report</x:v>
      </x:c>
      <x:c r="I5" s="22" t="str">
        <x:v>Planned</x:v>
      </x:c>
      <x:c r="J5" s="22" t="str"/>
    </x:row>
    <x:row r="6">
      <x:c r="A6" s="22" t="str">
        <x:v>Audit</x:v>
      </x:c>
      <x:c r="B6" s="22" t="str">
        <x:v>Sensitive actions create immutable audit trail</x:v>
      </x:c>
      <x:c r="C6" s="22" t="str">
        <x:v>Per module</x:v>
      </x:c>
      <x:c r="D6" s="22" t="str">
        <x:v>QA</x:v>
      </x:c>
      <x:c r="E6" s="22" t="str">
        <x:v>Yes</x:v>
      </x:c>
      <x:c r="F6" s="22" t="str">
        <x:v>Yes</x:v>
      </x:c>
      <x:c r="G6" s="22" t="str">
        <x:v>Actor/action/time/old/new/reason captured</x:v>
      </x:c>
      <x:c r="H6" s="22" t="str">
        <x:v>Audit test evidence</x:v>
      </x:c>
      <x:c r="I6" s="22" t="str">
        <x:v>Planned</x:v>
      </x:c>
      <x:c r="J6" s="22" t="str"/>
    </x:row>
    <x:row r="7">
      <x:c r="A7" s="22" t="str">
        <x:v>Approvals</x:v>
      </x:c>
      <x:c r="B7" s="22" t="str">
        <x:v>Request/approve/reject/cancel/retry workflows</x:v>
      </x:c>
      <x:c r="C7" s="22" t="str">
        <x:v>Per module</x:v>
      </x:c>
      <x:c r="D7" s="22" t="str">
        <x:v>QA</x:v>
      </x:c>
      <x:c r="E7" s="22" t="str">
        <x:v>Yes</x:v>
      </x:c>
      <x:c r="F7" s="22" t="str">
        <x:v>Yes</x:v>
      </x:c>
      <x:c r="G7" s="22" t="str">
        <x:v>No bypass of required approval</x:v>
      </x:c>
      <x:c r="H7" s="22" t="str">
        <x:v>Workflow test report</x:v>
      </x:c>
      <x:c r="I7" s="22" t="str">
        <x:v>Planned</x:v>
      </x:c>
      <x:c r="J7" s="22" t="str"/>
    </x:row>
    <x:row r="8">
      <x:c r="A8" s="22" t="str">
        <x:v>Attendance</x:v>
      </x:c>
      <x:c r="B8" s="22" t="str">
        <x:v>Morning/break/manual/QR/correction/offline</x:v>
      </x:c>
      <x:c r="C8" s="22" t="str">
        <x:v>P5/P10</x:v>
      </x:c>
      <x:c r="D8" s="22" t="str">
        <x:v>QA + SME</x:v>
      </x:c>
      <x:c r="E8" s="22" t="str">
        <x:v>Mixed</x:v>
      </x:c>
      <x:c r="F8" s="22" t="str">
        <x:v>Yes</x:v>
      </x:c>
      <x:c r="G8" s="22" t="str">
        <x:v>All attendance scenarios reconcile</x:v>
      </x:c>
      <x:c r="H8" s="22" t="str">
        <x:v>Scenario checklist</x:v>
      </x:c>
      <x:c r="I8" s="22" t="str">
        <x:v>Planned</x:v>
      </x:c>
      <x:c r="J8" s="22" t="str"/>
    </x:row>
    <x:row r="9">
      <x:c r="A9" s="22" t="str">
        <x:v>Exams/results</x:v>
      </x:c>
      <x:c r="B9" s="22" t="str">
        <x:v>Entry/correction/review/publish/lock</x:v>
      </x:c>
      <x:c r="C9" s="22" t="str">
        <x:v>P6</x:v>
      </x:c>
      <x:c r="D9" s="22" t="str">
        <x:v>QA + Exam Controller</x:v>
      </x:c>
      <x:c r="E9" s="22" t="str">
        <x:v>Mixed</x:v>
      </x:c>
      <x:c r="F9" s="22" t="str">
        <x:v>Yes</x:v>
      </x:c>
      <x:c r="G9" s="22" t="str">
        <x:v>Published result lifecycle correct</x:v>
      </x:c>
      <x:c r="H9" s="22" t="str">
        <x:v>UAT sign-off</x:v>
      </x:c>
      <x:c r="I9" s="22" t="str">
        <x:v>Planned</x:v>
      </x:c>
      <x:c r="J9" s="22" t="str"/>
    </x:row>
    <x:row r="10">
      <x:c r="A10" s="22" t="str">
        <x:v>Finance</x:v>
      </x:c>
      <x:c r="B10" s="22" t="str">
        <x:v>Invoice/payment/reversal/advance/discount/reconciliation</x:v>
      </x:c>
      <x:c r="C10" s="22" t="str">
        <x:v>P7</x:v>
      </x:c>
      <x:c r="D10" s="22" t="str">
        <x:v>QA + Finance</x:v>
      </x:c>
      <x:c r="E10" s="22" t="str">
        <x:v>Mixed</x:v>
      </x:c>
      <x:c r="F10" s="22" t="str">
        <x:v>Yes</x:v>
      </x:c>
      <x:c r="G10" s="22" t="str">
        <x:v>Ledger/report totals reconcile</x:v>
      </x:c>
      <x:c r="H10" s="22" t="str">
        <x:v>Finance test pack</x:v>
      </x:c>
      <x:c r="I10" s="22" t="str">
        <x:v>Planned</x:v>
      </x:c>
      <x:c r="J10" s="22" t="str"/>
    </x:row>
    <x:row r="11">
      <x:c r="A11" s="22" t="str">
        <x:v>Payroll</x:v>
      </x:c>
      <x:c r="B11" s="22" t="str">
        <x:v>Monthly calc/bonus/deduction/approval/lock</x:v>
      </x:c>
      <x:c r="C11" s="22" t="str">
        <x:v>P8</x:v>
      </x:c>
      <x:c r="D11" s="22" t="str">
        <x:v>QA + Admin</x:v>
      </x:c>
      <x:c r="E11" s="22" t="str">
        <x:v>Mixed</x:v>
      </x:c>
      <x:c r="F11" s="22" t="str">
        <x:v>Yes</x:v>
      </x:c>
      <x:c r="G11" s="22" t="str">
        <x:v>Payslip totals reconcile</x:v>
      </x:c>
      <x:c r="H11" s="22" t="str">
        <x:v>Payroll test pack</x:v>
      </x:c>
      <x:c r="I11" s="22" t="str">
        <x:v>Planned</x:v>
      </x:c>
      <x:c r="J11" s="22" t="str"/>
    </x:row>
    <x:row r="12">
      <x:c r="A12" s="22" t="str">
        <x:v>Storage</x:v>
      </x:c>
      <x:c r="B12" s="22" t="str">
        <x:v>Private access, compression, 1 MB policy</x:v>
      </x:c>
      <x:c r="C12" s="22" t="str">
        <x:v>P3/P9</x:v>
      </x:c>
      <x:c r="D12" s="22" t="str">
        <x:v>QA</x:v>
      </x:c>
      <x:c r="E12" s="22" t="str">
        <x:v>Yes</x:v>
      </x:c>
      <x:c r="F12" s="22" t="str">
        <x:v>Yes</x:v>
      </x:c>
      <x:c r="G12" s="22" t="str">
        <x:v>Unauthorized files inaccessible</x:v>
      </x:c>
      <x:c r="H12" s="22" t="str">
        <x:v>Storage policy tests</x:v>
      </x:c>
      <x:c r="I12" s="22" t="str">
        <x:v>Planned</x:v>
      </x:c>
      <x:c r="J12" s="22" t="str"/>
    </x:row>
    <x:row r="13">
      <x:c r="A13" s="22" t="str">
        <x:v>Offline sync</x:v>
      </x:c>
      <x:c r="B13" s="22" t="str">
        <x:v>Queue/idempotency/conflict resolution</x:v>
      </x:c>
      <x:c r="C13" s="22" t="str">
        <x:v>P10</x:v>
      </x:c>
      <x:c r="D13" s="22" t="str">
        <x:v>QA</x:v>
      </x:c>
      <x:c r="E13" s="22" t="str">
        <x:v>Yes</x:v>
      </x:c>
      <x:c r="F13" s="22" t="str">
        <x:v>Yes</x:v>
      </x:c>
      <x:c r="G13" s="22" t="str">
        <x:v>No silent critical overwrites</x:v>
      </x:c>
      <x:c r="H13" s="22" t="str">
        <x:v>Sync stress test</x:v>
      </x:c>
      <x:c r="I13" s="22" t="str">
        <x:v>Planned</x:v>
      </x:c>
      <x:c r="J13" s="22" t="str"/>
    </x:row>
    <x:row r="14">
      <x:c r="A14" s="22" t="str">
        <x:v>Backup/restore</x:v>
      </x:c>
      <x:c r="B14" s="22" t="str">
        <x:v>Restore latest backup in isolated environment</x:v>
      </x:c>
      <x:c r="C14" s="22" t="str">
        <x:v>P10/P12</x:v>
      </x:c>
      <x:c r="D14" s="22" t="str">
        <x:v>Lead Engineer / QA</x:v>
      </x:c>
      <x:c r="E14" s="22" t="str">
        <x:v>Mixed</x:v>
      </x:c>
      <x:c r="F14" s="22" t="str">
        <x:v>Yes</x:v>
      </x:c>
      <x:c r="G14" s="22" t="str">
        <x:v>Recovery runbook passes</x:v>
      </x:c>
      <x:c r="H14" s="22" t="str">
        <x:v>Restore report</x:v>
      </x:c>
      <x:c r="I14" s="22" t="str">
        <x:v>Planned</x:v>
      </x:c>
      <x:c r="J14" s="22" t="str"/>
    </x:row>
    <x:row r="15">
      <x:c r="A15" s="22" t="str">
        <x:v>Performance</x:v>
      </x:c>
      <x:c r="B15" s="22" t="str">
        <x:v>Key workflows at realistic school size</x:v>
      </x:c>
      <x:c r="C15" s="22" t="str">
        <x:v>P12</x:v>
      </x:c>
      <x:c r="D15" s="22" t="str">
        <x:v>QA</x:v>
      </x:c>
      <x:c r="E15" s="22" t="str">
        <x:v>Mixed</x:v>
      </x:c>
      <x:c r="F15" s="22" t="str">
        <x:v>Yes</x:v>
      </x:c>
      <x:c r="G15" s="22" t="str">
        <x:v>Targets agreed and met</x:v>
      </x:c>
      <x:c r="H15" s="22" t="str">
        <x:v>Load test report</x:v>
      </x:c>
      <x:c r="I15" s="22" t="str">
        <x:v>Planned</x:v>
      </x:c>
      <x:c r="J15" s="22" t="str"/>
    </x:row>
    <x:row r="16">
      <x:c r="A16" s="22" t="str">
        <x:v>AI authorization</x:v>
      </x:c>
      <x:c r="B16" s="22" t="str">
        <x:v>AI answers only from permitted data</x:v>
      </x:c>
      <x:c r="C16" s="22" t="str">
        <x:v>P11/P12</x:v>
      </x:c>
      <x:c r="D16" s="22" t="str">
        <x:v>QA</x:v>
      </x:c>
      <x:c r="E16" s="22" t="str">
        <x:v>Yes</x:v>
      </x:c>
      <x:c r="F16" s="22" t="str">
        <x:v>Yes</x:v>
      </x:c>
      <x:c r="G16" s="22" t="str">
        <x:v>No permission bypass</x:v>
      </x:c>
      <x:c r="H16" s="22" t="str">
        <x:v>AI red-team cases</x:v>
      </x:c>
      <x:c r="I16" s="22" t="str">
        <x:v>Planned</x:v>
      </x:c>
      <x:c r="J16" s="22" t="str"/>
    </x:row>
    <x:row r="17">
      <x:c r="A17" s="22" t="str">
        <x:v>Accessibility/UX</x:v>
      </x:c>
      <x:c r="B17" s="22" t="str">
        <x:v>Core flows usable by intended roles</x:v>
      </x:c>
      <x:c r="C17" s="22" t="str">
        <x:v>Per release</x:v>
      </x:c>
      <x:c r="D17" s="22" t="str">
        <x:v>QA + SME</x:v>
      </x:c>
      <x:c r="E17" s="22" t="str">
        <x:v>No</x:v>
      </x:c>
      <x:c r="F17" s="22" t="str">
        <x:v>No</x:v>
      </x:c>
      <x:c r="G17" s="22" t="str">
        <x:v>No critical usability blockers</x:v>
      </x:c>
      <x:c r="H17" s="22" t="str">
        <x:v>UAT notes</x:v>
      </x:c>
      <x:c r="I17" s="22" t="str">
        <x:v>Planned</x:v>
      </x:c>
      <x:c r="J17" s="22" t="str"/>
    </x:row>
    <x:row r="18">
      <x:c r="A18" s="22" t="str">
        <x:v>Release rollback</x:v>
      </x:c>
      <x:c r="B18" s="22" t="str">
        <x:v>App + DB rollback/recovery rehearsal</x:v>
      </x:c>
      <x:c r="C18" s="22" t="str">
        <x:v>R6/R7</x:v>
      </x:c>
      <x:c r="D18" s="22" t="str">
        <x:v>Lead Engineer / QA</x:v>
      </x:c>
      <x:c r="E18" s="22" t="str">
        <x:v>Mixed</x:v>
      </x:c>
      <x:c r="F18" s="22" t="str">
        <x:v>Yes</x:v>
      </x:c>
      <x:c r="G18" s="22" t="str">
        <x:v>Rollback/recovery documented and proven</x:v>
      </x:c>
      <x:c r="H18" s="22" t="str">
        <x:v>Runbook</x:v>
      </x:c>
      <x:c r="I18" s="22" t="str">
        <x:v>Planned</x:v>
      </x:c>
      <x:c r="J18" s="22" t="str"/>
    </x:row>
  </x:sheetData>
  <x:mergeCells>
    <x:mergeCell ref="A1:J1"/>
  </x:mergeCells>
  <x:dataValidations count="1">
    <x:dataValidation type="list" sqref="I4:I18">
      <x:formula1>"Planned,In Progress,Passed,Failed,Waived"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739eeaa9c1415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" hidden="0" customWidth="1"/>
    <x:col min="3" max="3" width="16" hidden="0" customWidth="1"/>
    <x:col min="4" max="4" width="48" hidden="0" customWidth="1"/>
    <x:col min="5" max="5" width="42" hidden="0" customWidth="1"/>
    <x:col min="6" max="6" width="42" hidden="0" customWidth="1"/>
    <x:col min="7" max="7" width="20" hidden="0" customWidth="1"/>
    <x:col min="8" max="8" width="13" hidden="0" customWidth="1"/>
    <x:col min="9" max="9" width="22" hidden="0" customWidth="1"/>
  </x:cols>
  <x:sheetData>
    <x:row r="1">
      <x:c r="A1" s="5" t="str">
        <x:v>Project Change &amp; Decision Log</x:v>
      </x:c>
      <x:c r="B1" s="5"/>
      <x:c r="C1" s="5"/>
      <x:c r="D1" s="5"/>
      <x:c r="E1" s="5"/>
      <x:c r="F1" s="5"/>
      <x:c r="G1" s="5"/>
      <x:c r="H1" s="5"/>
      <x:c r="I1" s="5"/>
    </x:row>
    <x:row r="3">
      <x:c r="A3" s="14" t="str">
        <x:v>ID</x:v>
      </x:c>
      <x:c r="B3" s="14" t="str">
        <x:v>Date</x:v>
      </x:c>
      <x:c r="C3" s="14" t="str">
        <x:v>Type</x:v>
      </x:c>
      <x:c r="D3" s="14" t="str">
        <x:v>Decision / Change</x:v>
      </x:c>
      <x:c r="E3" s="14" t="str">
        <x:v>Reason</x:v>
      </x:c>
      <x:c r="F3" s="14" t="str">
        <x:v>Impact</x:v>
      </x:c>
      <x:c r="G3" s="14" t="str">
        <x:v>Approved By</x:v>
      </x:c>
      <x:c r="H3" s="14" t="str">
        <x:v>Status</x:v>
      </x:c>
      <x:c r="I3" s="14" t="str">
        <x:v>Version / Reference</x:v>
      </x:c>
    </x:row>
    <x:row r="4">
      <x:c r="A4" s="22" t="str">
        <x:v>D-001</x:v>
      </x:c>
      <x:c r="B4" s="23" t="n">
        <x:v>46284</x:v>
      </x:c>
      <x:c r="C4" s="22" t="str">
        <x:v>Architecture</x:v>
      </x:c>
      <x:c r="D4" s="22" t="str">
        <x:v>Use SaaS deployment model</x:v>
      </x:c>
      <x:c r="E4" s="22" t="str">
        <x:v>Product intended for distribution</x:v>
      </x:c>
      <x:c r="F4" s="22" t="str">
        <x:v>Introduces control plane and repeatable deployment</x:v>
      </x:c>
      <x:c r="G4" s="22" t="str">
        <x:v>Product Owner</x:v>
      </x:c>
      <x:c r="H4" s="22" t="str">
        <x:v>Approved</x:v>
      </x:c>
      <x:c r="I4" s="22" t="str">
        <x:v>Requirements v0.1</x:v>
      </x:c>
    </x:row>
    <x:row r="5">
      <x:c r="A5" s="22" t="str">
        <x:v>D-002</x:v>
      </x:c>
      <x:c r="B5" s="23" t="n">
        <x:v>46284</x:v>
      </x:c>
      <x:c r="C5" s="22" t="str">
        <x:v>Architecture</x:v>
      </x:c>
      <x:c r="D5" s="22" t="str">
        <x:v>One school = one Supabase project</x:v>
      </x:c>
      <x:c r="E5" s="22" t="str">
        <x:v>Stronger tenant isolation and simpler school RLS</x:v>
      </x:c>
      <x:c r="F5" s="22" t="str">
        <x:v>Requires per-school provisioning/version management</x:v>
      </x:c>
      <x:c r="G5" s="22" t="str">
        <x:v>Product Owner</x:v>
      </x:c>
      <x:c r="H5" s="22" t="str">
        <x:v>Approved</x:v>
      </x:c>
      <x:c r="I5" s="22" t="str">
        <x:v>Requirements v0.1</x:v>
      </x:c>
    </x:row>
    <x:row r="6">
      <x:c r="A6" s="22" t="str">
        <x:v>D-003</x:v>
      </x:c>
      <x:c r="B6" s="23" t="n">
        <x:v>46284</x:v>
      </x:c>
      <x:c r="C6" s="22" t="str">
        <x:v>Architecture</x:v>
      </x:c>
      <x:c r="D6" s="22" t="str">
        <x:v>Five engines: data, permission, workflow, automation, AI</x:v>
      </x:c>
      <x:c r="E6" s="22" t="str">
        <x:v>Avoid disconnected CRUD architecture</x:v>
      </x:c>
      <x:c r="F6" s="22" t="str">
        <x:v>Cross-cutting platform design required</x:v>
      </x:c>
      <x:c r="G6" s="22" t="str">
        <x:v>Product Owner</x:v>
      </x:c>
      <x:c r="H6" s="22" t="str">
        <x:v>Approved</x:v>
      </x:c>
      <x:c r="I6" s="22" t="str">
        <x:v>Requirements v0.1</x:v>
      </x:c>
    </x:row>
    <x:row r="7">
      <x:c r="A7" s="22" t="str">
        <x:v>D-004</x:v>
      </x:c>
      <x:c r="B7" s="23" t="n">
        <x:v>46284</x:v>
      </x:c>
      <x:c r="C7" s="22" t="str">
        <x:v>Security</x:v>
      </x:c>
      <x:c r="D7" s="22" t="str">
        <x:v>Financial records are reversed/cancelled, not hard-deleted</x:v>
      </x:c>
      <x:c r="E7" s="22" t="str">
        <x:v>Audit/accounting integrity</x:v>
      </x:c>
      <x:c r="F7" s="22" t="str">
        <x:v>Requires correction/reversal workflows</x:v>
      </x:c>
      <x:c r="G7" s="22" t="str">
        <x:v>Product Owner</x:v>
      </x:c>
      <x:c r="H7" s="22" t="str">
        <x:v>Approved</x:v>
      </x:c>
      <x:c r="I7" s="22" t="str">
        <x:v>Requirements v0.1</x:v>
      </x:c>
    </x:row>
    <x:row r="8">
      <x:c r="A8" s="22" t="str">
        <x:v>D-005</x:v>
      </x:c>
      <x:c r="B8" s="23" t="n">
        <x:v>46284</x:v>
      </x:c>
      <x:c r="C8" s="22" t="str">
        <x:v>Product</x:v>
      </x:c>
      <x:c r="D8" s="22" t="str">
        <x:v>Generated PDFs are on-demand and not auto-stored</x:v>
      </x:c>
      <x:c r="E8" s="22" t="str">
        <x:v>Reduce storage consumption</x:v>
      </x:c>
      <x:c r="F8" s="22" t="str">
        <x:v>Need reliable document generators</x:v>
      </x:c>
      <x:c r="G8" s="22" t="str">
        <x:v>Product Owner</x:v>
      </x:c>
      <x:c r="H8" s="22" t="str">
        <x:v>Approved</x:v>
      </x:c>
      <x:c r="I8" s="22" t="str">
        <x:v>Requirements v0.1</x:v>
      </x:c>
    </x:row>
    <x:row r="9">
      <x:c r="A9" s="22" t="str">
        <x:v>D-006</x:v>
      </x:c>
      <x:c r="B9" s="23" t="n">
        <x:v>46284</x:v>
      </x:c>
      <x:c r="C9" s="22" t="str">
        <x:v>Product</x:v>
      </x:c>
      <x:c r="D9" s="22" t="str">
        <x:v>Inventory, GPS, biometrics, WhatsApp and payment gateway deferred</x:v>
      </x:c>
      <x:c r="E9" s="22" t="str">
        <x:v>Control initial scope</x:v>
      </x:c>
      <x:c r="F9" s="22" t="str">
        <x:v>Keep extension points only</x:v>
      </x:c>
      <x:c r="G9" s="22" t="str">
        <x:v>Product Owner</x:v>
      </x:c>
      <x:c r="H9" s="22" t="str">
        <x:v>Approved</x:v>
      </x:c>
      <x:c r="I9" s="22" t="str">
        <x:v>Requirements v0.1</x:v>
      </x:c>
    </x:row>
    <x:row r="10">
      <x:c r="A10" t="str">
        <x:v>D-007</x:v>
      </x:c>
      <x:c r="B10" s="20" t="str">
        <x:v>2026-09-21</x:v>
      </x:c>
      <x:c r="C10" t="str">
        <x:v>Architecture</x:v>
      </x:c>
      <x:c r="D10" t="str">
        <x:v>Attendance core is capture-method independent; manual and QR are V1 adapters, biometric/camera/RFID/NFC are future adapters</x:v>
      </x:c>
      <x:c r="E10" t="str">
        <x:v>Future attendance hardware must not force redesign of attendance history</x:v>
      </x:c>
      <x:c r="F10" t="str">
        <x:v>Add source/device/event extensibility while deferring biometric/camera implementation</x:v>
      </x:c>
      <x:c r="G10" t="str">
        <x:v>Product Owner</x:v>
      </x:c>
      <x:c r="H10" t="str">
        <x:v>Approved</x:v>
      </x:c>
      <x:c r="I10" t="str">
        <x:v>Codex Environment v0.2</x:v>
      </x:c>
    </x:row>
  </x:sheetData>
  <x:mergeCells>
    <x:mergeCell ref="A1:I1"/>
  </x:mergeCells>
  <x:dataValidations count="1">
    <x:dataValidation type="list" sqref="H4:H9">
      <x:formula1>"Proposed,Approved,Rejected,Superseded"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510f566f0b447a"/>
  </x:tableParts>
</x:worksheet>
</file>

<file path=xl/worksheets/sheet12.xml><?xml version="1.0" encoding="utf-8"?>
<x:worksheet xmlns:x="http://schemas.openxmlformats.org/spreadsheetml/2006/main">
  <x:sheetFormatPr defaultRowHeight="15"/>
  <x:cols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1" max="1" width="8" hidden="0" customWidth="1"/>
    <x:col min="2" max="2" width="32" hidden="0" customWidth="1"/>
    <x:col min="3" max="3" width="12" hidden="0" customWidth="1"/>
    <x:col min="4" max="4" width="12" hidden="0" customWidth="1"/>
    <x:col min="5" max="5" width="24" hidden="0" customWidth="1"/>
    <x:col min="6" max="6" width="14" hidden="0" customWidth="1"/>
    <x:col min="7" max="7" width="11" hidden="0" customWidth="1"/>
  </x:cols>
  <x:sheetData>
    <x:row r="1">
      <x:c r="A1" s="5" t="str">
        <x:v>Phase Gantt - Monthly View</x:v>
      </x:c>
      <x:c r="B1" s="5"/>
      <x:c r="C1" s="5"/>
      <x:c r="D1" s="5"/>
      <x:c r="E1" s="5"/>
      <x:c r="F1" s="5"/>
      <x:c r="G1" s="5"/>
    </x:row>
    <x:row r="2">
      <x:c r="H2" s="20" t="n">
        <x:v>46295</x:v>
      </x:c>
      <x:c r="I2" s="20" t="n">
        <x:v>46326</x:v>
      </x:c>
      <x:c r="J2" s="20" t="n">
        <x:v>46356</x:v>
      </x:c>
      <x:c r="K2" s="20" t="n">
        <x:v>46387</x:v>
      </x:c>
      <x:c r="L2" s="20" t="n">
        <x:v>46418</x:v>
      </x:c>
      <x:c r="M2" s="20" t="n">
        <x:v>46446</x:v>
      </x:c>
      <x:c r="N2" s="20" t="n">
        <x:v>46477</x:v>
      </x:c>
      <x:c r="O2" s="20" t="n">
        <x:v>46507</x:v>
      </x:c>
      <x:c r="P2" s="20" t="n">
        <x:v>46538</x:v>
      </x:c>
      <x:c r="Q2" s="20" t="n">
        <x:v>46568</x:v>
      </x:c>
      <x:c r="R2" s="20" t="n">
        <x:v>46599</x:v>
      </x:c>
      <x:c r="S2" s="20" t="n">
        <x:v>46630</x:v>
      </x:c>
      <x:c r="T2" s="20" t="n">
        <x:v>46660</x:v>
      </x:c>
      <x:c r="U2" s="20" t="n">
        <x:v>46691</x:v>
      </x:c>
      <x:c r="V2" s="20" t="n">
        <x:v>46721</x:v>
      </x:c>
      <x:c r="W2" s="20" t="n">
        <x:v>46752</x:v>
      </x:c>
      <x:c r="X2" s="20" t="n">
        <x:v>46783</x:v>
      </x:c>
      <x:c r="Y2" s="20" t="n">
        <x:v>46812</x:v>
      </x:c>
      <x:c r="Z2" s="20" t="n">
        <x:v>46843</x:v>
      </x:c>
      <x:c r="AA2" s="20" t="n">
        <x:v>46873</x:v>
      </x:c>
    </x:row>
    <x:row r="3">
      <x:c r="A3" s="14" t="str">
        <x:v>Phase</x:v>
      </x:c>
      <x:c r="B3" s="14" t="str">
        <x:v>Name</x:v>
      </x:c>
      <x:c r="C3" s="14" t="str">
        <x:v>Start</x:v>
      </x:c>
      <x:c r="D3" s="14" t="str">
        <x:v>End</x:v>
      </x:c>
      <x:c r="E3" s="14" t="str">
        <x:v>Owner</x:v>
      </x:c>
      <x:c r="F3" s="14" t="str">
        <x:v>Status</x:v>
      </x:c>
      <x:c r="G3" s="14" t="str">
        <x:v>Progress %</x:v>
      </x:c>
      <x:c r="H3" s="36" t="n">
        <x:v>46266</x:v>
      </x:c>
      <x:c r="I3" s="36" t="n">
        <x:v>46296</x:v>
      </x:c>
      <x:c r="J3" s="36" t="n">
        <x:v>46327</x:v>
      </x:c>
      <x:c r="K3" s="36" t="n">
        <x:v>46357</x:v>
      </x:c>
      <x:c r="L3" s="36" t="n">
        <x:v>46388</x:v>
      </x:c>
      <x:c r="M3" s="36" t="n">
        <x:v>46419</x:v>
      </x:c>
      <x:c r="N3" s="36" t="n">
        <x:v>46447</x:v>
      </x:c>
      <x:c r="O3" s="36" t="n">
        <x:v>46478</x:v>
      </x:c>
      <x:c r="P3" s="36" t="n">
        <x:v>46508</x:v>
      </x:c>
      <x:c r="Q3" s="36" t="n">
        <x:v>46539</x:v>
      </x:c>
      <x:c r="R3" s="36" t="n">
        <x:v>46569</x:v>
      </x:c>
      <x:c r="S3" s="36" t="n">
        <x:v>46600</x:v>
      </x:c>
      <x:c r="T3" s="36" t="n">
        <x:v>46631</x:v>
      </x:c>
      <x:c r="U3" s="36" t="n">
        <x:v>46661</x:v>
      </x:c>
      <x:c r="V3" s="36" t="n">
        <x:v>46692</x:v>
      </x:c>
      <x:c r="W3" s="36" t="n">
        <x:v>46722</x:v>
      </x:c>
      <x:c r="X3" s="36" t="n">
        <x:v>46753</x:v>
      </x:c>
      <x:c r="Y3" s="36" t="n">
        <x:v>46784</x:v>
      </x:c>
      <x:c r="Z3" s="36" t="n">
        <x:v>46813</x:v>
      </x:c>
      <x:c r="AA3" s="36" t="n">
        <x:v>46844</x:v>
      </x:c>
    </x:row>
    <x:row r="4">
      <x:c r="A4" s="22" t="str">
        <x:v>P0</x:v>
      </x:c>
      <x:c r="B4" s="22" t="str">
        <x:v>Discovery &amp; Project Setup</x:v>
      </x:c>
      <x:c r="C4" s="23" t="n">
        <x:v>46286</x:v>
      </x:c>
      <x:c r="D4" s="23" t="n">
        <x:v>46311</x:v>
      </x:c>
      <x:c r="E4" s="22" t="str">
        <x:v>Product Owner / Lead</x:v>
      </x:c>
      <x:c r="F4" s="22" t="str">
        <x:v>In Progress</x:v>
      </x:c>
      <x:c r="G4" s="28" t="n">
        <x:v>0.75</x:v>
      </x:c>
      <x:c r="H4" s="44" t="str">
        <x:f>IF(AND(H$3&lt;=$D4,H$2&gt;=$C4),"■","")</x:f>
        <x:v>■</x:v>
      </x:c>
      <x:c r="I4" s="44" t="str">
        <x:f>IF(AND(I$3&lt;=$D4,I$2&gt;=$C4),"■","")</x:f>
        <x:v>■</x:v>
      </x:c>
      <x:c r="J4" s="44" t="str">
        <x:f>IF(AND(J$3&lt;=$D4,J$2&gt;=$C4),"■","")</x:f>
      </x:c>
      <x:c r="K4" s="44" t="str">
        <x:f>IF(AND(K$3&lt;=$D4,K$2&gt;=$C4),"■","")</x:f>
      </x:c>
      <x:c r="L4" s="44" t="str">
        <x:f>IF(AND(L$3&lt;=$D4,L$2&gt;=$C4),"■","")</x:f>
      </x:c>
      <x:c r="M4" s="44" t="str">
        <x:f>IF(AND(M$3&lt;=$D4,M$2&gt;=$C4),"■","")</x:f>
      </x:c>
      <x:c r="N4" s="44" t="str">
        <x:f>IF(AND(N$3&lt;=$D4,N$2&gt;=$C4),"■","")</x:f>
      </x:c>
      <x:c r="O4" s="44" t="str">
        <x:f>IF(AND(O$3&lt;=$D4,O$2&gt;=$C4),"■","")</x:f>
      </x:c>
      <x:c r="P4" s="44" t="str">
        <x:f>IF(AND(P$3&lt;=$D4,P$2&gt;=$C4),"■","")</x:f>
      </x:c>
      <x:c r="Q4" s="44" t="str">
        <x:f>IF(AND(Q$3&lt;=$D4,Q$2&gt;=$C4),"■","")</x:f>
      </x:c>
      <x:c r="R4" s="44" t="str">
        <x:f>IF(AND(R$3&lt;=$D4,R$2&gt;=$C4),"■","")</x:f>
      </x:c>
      <x:c r="S4" s="44" t="str">
        <x:f>IF(AND(S$3&lt;=$D4,S$2&gt;=$C4),"■","")</x:f>
      </x:c>
      <x:c r="T4" s="44" t="str">
        <x:f>IF(AND(T$3&lt;=$D4,T$2&gt;=$C4),"■","")</x:f>
      </x:c>
      <x:c r="U4" s="44" t="str">
        <x:f>IF(AND(U$3&lt;=$D4,U$2&gt;=$C4),"■","")</x:f>
      </x:c>
      <x:c r="V4" s="44" t="str">
        <x:f>IF(AND(V$3&lt;=$D4,V$2&gt;=$C4),"■","")</x:f>
      </x:c>
      <x:c r="W4" s="44" t="str">
        <x:f>IF(AND(W$3&lt;=$D4,W$2&gt;=$C4),"■","")</x:f>
      </x:c>
      <x:c r="X4" s="44" t="str">
        <x:f>IF(AND(X$3&lt;=$D4,X$2&gt;=$C4),"■","")</x:f>
      </x:c>
      <x:c r="Y4" s="44" t="str">
        <x:f>IF(AND(Y$3&lt;=$D4,Y$2&gt;=$C4),"■","")</x:f>
      </x:c>
      <x:c r="Z4" s="44" t="str">
        <x:f>IF(AND(Z$3&lt;=$D4,Z$2&gt;=$C4),"■","")</x:f>
      </x:c>
      <x:c r="AA4" s="44" t="str">
        <x:f>IF(AND(AA$3&lt;=$D4,AA$2&gt;=$C4),"■","")</x:f>
      </x:c>
    </x:row>
    <x:row r="5">
      <x:c r="A5" s="22" t="str">
        <x:v>P1</x:v>
      </x:c>
      <x:c r="B5" s="22" t="str">
        <x:v>Architecture &amp; SaaS Foundation</x:v>
      </x:c>
      <x:c r="C5" s="23" t="n">
        <x:v>46314</x:v>
      </x:c>
      <x:c r="D5" s="23" t="n">
        <x:v>46367</x:v>
      </x:c>
      <x:c r="E5" s="22" t="str">
        <x:v>Lead Engineer</x:v>
      </x:c>
      <x:c r="F5" s="22" t="str">
        <x:v>Not Started</x:v>
      </x:c>
      <x:c r="G5" s="28" t="n">
        <x:v>0</x:v>
      </x:c>
      <x:c r="H5" s="44" t="str">
        <x:f>IF(AND(H$3&lt;=$D5,H$2&gt;=$C5),"■","")</x:f>
      </x:c>
      <x:c r="I5" s="44" t="str">
        <x:f>IF(AND(I$3&lt;=$D5,I$2&gt;=$C5),"■","")</x:f>
        <x:v>■</x:v>
      </x:c>
      <x:c r="J5" s="44" t="str">
        <x:f>IF(AND(J$3&lt;=$D5,J$2&gt;=$C5),"■","")</x:f>
        <x:v>■</x:v>
      </x:c>
      <x:c r="K5" s="44" t="str">
        <x:f>IF(AND(K$3&lt;=$D5,K$2&gt;=$C5),"■","")</x:f>
        <x:v>■</x:v>
      </x:c>
      <x:c r="L5" s="44" t="str">
        <x:f>IF(AND(L$3&lt;=$D5,L$2&gt;=$C5),"■","")</x:f>
      </x:c>
      <x:c r="M5" s="44" t="str">
        <x:f>IF(AND(M$3&lt;=$D5,M$2&gt;=$C5),"■","")</x:f>
      </x:c>
      <x:c r="N5" s="44" t="str">
        <x:f>IF(AND(N$3&lt;=$D5,N$2&gt;=$C5),"■","")</x:f>
      </x:c>
      <x:c r="O5" s="44" t="str">
        <x:f>IF(AND(O$3&lt;=$D5,O$2&gt;=$C5),"■","")</x:f>
      </x:c>
      <x:c r="P5" s="44" t="str">
        <x:f>IF(AND(P$3&lt;=$D5,P$2&gt;=$C5),"■","")</x:f>
      </x:c>
      <x:c r="Q5" s="44" t="str">
        <x:f>IF(AND(Q$3&lt;=$D5,Q$2&gt;=$C5),"■","")</x:f>
      </x:c>
      <x:c r="R5" s="44" t="str">
        <x:f>IF(AND(R$3&lt;=$D5,R$2&gt;=$C5),"■","")</x:f>
      </x:c>
      <x:c r="S5" s="44" t="str">
        <x:f>IF(AND(S$3&lt;=$D5,S$2&gt;=$C5),"■","")</x:f>
      </x:c>
      <x:c r="T5" s="44" t="str">
        <x:f>IF(AND(T$3&lt;=$D5,T$2&gt;=$C5),"■","")</x:f>
      </x:c>
      <x:c r="U5" s="44" t="str">
        <x:f>IF(AND(U$3&lt;=$D5,U$2&gt;=$C5),"■","")</x:f>
      </x:c>
      <x:c r="V5" s="44" t="str">
        <x:f>IF(AND(V$3&lt;=$D5,V$2&gt;=$C5),"■","")</x:f>
      </x:c>
      <x:c r="W5" s="44" t="str">
        <x:f>IF(AND(W$3&lt;=$D5,W$2&gt;=$C5),"■","")</x:f>
      </x:c>
      <x:c r="X5" s="44" t="str">
        <x:f>IF(AND(X$3&lt;=$D5,X$2&gt;=$C5),"■","")</x:f>
      </x:c>
      <x:c r="Y5" s="44" t="str">
        <x:f>IF(AND(Y$3&lt;=$D5,Y$2&gt;=$C5),"■","")</x:f>
      </x:c>
      <x:c r="Z5" s="44" t="str">
        <x:f>IF(AND(Z$3&lt;=$D5,Z$2&gt;=$C5),"■","")</x:f>
      </x:c>
      <x:c r="AA5" s="44" t="str">
        <x:f>IF(AND(AA$3&lt;=$D5,AA$2&gt;=$C5),"■","")</x:f>
      </x:c>
    </x:row>
    <x:row r="6">
      <x:c r="A6" s="22" t="str">
        <x:v>P2</x:v>
      </x:c>
      <x:c r="B6" s="22" t="str">
        <x:v>Identity, RBAC &amp; Academic Foundation</x:v>
      </x:c>
      <x:c r="C6" s="23" t="n">
        <x:v>46370</x:v>
      </x:c>
      <x:c r="D6" s="23" t="n">
        <x:v>46430</x:v>
      </x:c>
      <x:c r="E6" s="22" t="str">
        <x:v>Lead Engineer</x:v>
      </x:c>
      <x:c r="F6" s="22" t="str">
        <x:v>Not Started</x:v>
      </x:c>
      <x:c r="G6" s="28" t="n">
        <x:v>0</x:v>
      </x:c>
      <x:c r="H6" s="44" t="str">
        <x:f>IF(AND(H$3&lt;=$D6,H$2&gt;=$C6),"■","")</x:f>
      </x:c>
      <x:c r="I6" s="44" t="str">
        <x:f>IF(AND(I$3&lt;=$D6,I$2&gt;=$C6),"■","")</x:f>
      </x:c>
      <x:c r="J6" s="44" t="str">
        <x:f>IF(AND(J$3&lt;=$D6,J$2&gt;=$C6),"■","")</x:f>
      </x:c>
      <x:c r="K6" s="44" t="str">
        <x:f>IF(AND(K$3&lt;=$D6,K$2&gt;=$C6),"■","")</x:f>
        <x:v>■</x:v>
      </x:c>
      <x:c r="L6" s="44" t="str">
        <x:f>IF(AND(L$3&lt;=$D6,L$2&gt;=$C6),"■","")</x:f>
        <x:v>■</x:v>
      </x:c>
      <x:c r="M6" s="44" t="str">
        <x:f>IF(AND(M$3&lt;=$D6,M$2&gt;=$C6),"■","")</x:f>
        <x:v>■</x:v>
      </x:c>
      <x:c r="N6" s="44" t="str">
        <x:f>IF(AND(N$3&lt;=$D6,N$2&gt;=$C6),"■","")</x:f>
      </x:c>
      <x:c r="O6" s="44" t="str">
        <x:f>IF(AND(O$3&lt;=$D6,O$2&gt;=$C6),"■","")</x:f>
      </x:c>
      <x:c r="P6" s="44" t="str">
        <x:f>IF(AND(P$3&lt;=$D6,P$2&gt;=$C6),"■","")</x:f>
      </x:c>
      <x:c r="Q6" s="44" t="str">
        <x:f>IF(AND(Q$3&lt;=$D6,Q$2&gt;=$C6),"■","")</x:f>
      </x:c>
      <x:c r="R6" s="44" t="str">
        <x:f>IF(AND(R$3&lt;=$D6,R$2&gt;=$C6),"■","")</x:f>
      </x:c>
      <x:c r="S6" s="44" t="str">
        <x:f>IF(AND(S$3&lt;=$D6,S$2&gt;=$C6),"■","")</x:f>
      </x:c>
      <x:c r="T6" s="44" t="str">
        <x:f>IF(AND(T$3&lt;=$D6,T$2&gt;=$C6),"■","")</x:f>
      </x:c>
      <x:c r="U6" s="44" t="str">
        <x:f>IF(AND(U$3&lt;=$D6,U$2&gt;=$C6),"■","")</x:f>
      </x:c>
      <x:c r="V6" s="44" t="str">
        <x:f>IF(AND(V$3&lt;=$D6,V$2&gt;=$C6),"■","")</x:f>
      </x:c>
      <x:c r="W6" s="44" t="str">
        <x:f>IF(AND(W$3&lt;=$D6,W$2&gt;=$C6),"■","")</x:f>
      </x:c>
      <x:c r="X6" s="44" t="str">
        <x:f>IF(AND(X$3&lt;=$D6,X$2&gt;=$C6),"■","")</x:f>
      </x:c>
      <x:c r="Y6" s="44" t="str">
        <x:f>IF(AND(Y$3&lt;=$D6,Y$2&gt;=$C6),"■","")</x:f>
      </x:c>
      <x:c r="Z6" s="44" t="str">
        <x:f>IF(AND(Z$3&lt;=$D6,Z$2&gt;=$C6),"■","")</x:f>
      </x:c>
      <x:c r="AA6" s="44" t="str">
        <x:f>IF(AND(AA$3&lt;=$D6,AA$2&gt;=$C6),"■","")</x:f>
      </x:c>
    </x:row>
    <x:row r="7">
      <x:c r="A7" s="22" t="str">
        <x:v>P3</x:v>
      </x:c>
      <x:c r="B7" s="22" t="str">
        <x:v>Students, Families &amp; Admissions</x:v>
      </x:c>
      <x:c r="C7" s="23" t="n">
        <x:v>46433</x:v>
      </x:c>
      <x:c r="D7" s="23" t="n">
        <x:v>46486</x:v>
      </x:c>
      <x:c r="E7" s="22" t="str">
        <x:v>Lead Engineer</x:v>
      </x:c>
      <x:c r="F7" s="22" t="str">
        <x:v>Not Started</x:v>
      </x:c>
      <x:c r="G7" s="28" t="n">
        <x:v>0</x:v>
      </x:c>
      <x:c r="H7" s="44" t="str">
        <x:f>IF(AND(H$3&lt;=$D7,H$2&gt;=$C7),"■","")</x:f>
      </x:c>
      <x:c r="I7" s="44" t="str">
        <x:f>IF(AND(I$3&lt;=$D7,I$2&gt;=$C7),"■","")</x:f>
      </x:c>
      <x:c r="J7" s="44" t="str">
        <x:f>IF(AND(J$3&lt;=$D7,J$2&gt;=$C7),"■","")</x:f>
      </x:c>
      <x:c r="K7" s="44" t="str">
        <x:f>IF(AND(K$3&lt;=$D7,K$2&gt;=$C7),"■","")</x:f>
      </x:c>
      <x:c r="L7" s="44" t="str">
        <x:f>IF(AND(L$3&lt;=$D7,L$2&gt;=$C7),"■","")</x:f>
      </x:c>
      <x:c r="M7" s="44" t="str">
        <x:f>IF(AND(M$3&lt;=$D7,M$2&gt;=$C7),"■","")</x:f>
        <x:v>■</x:v>
      </x:c>
      <x:c r="N7" s="44" t="str">
        <x:f>IF(AND(N$3&lt;=$D7,N$2&gt;=$C7),"■","")</x:f>
        <x:v>■</x:v>
      </x:c>
      <x:c r="O7" s="44" t="str">
        <x:f>IF(AND(O$3&lt;=$D7,O$2&gt;=$C7),"■","")</x:f>
        <x:v>■</x:v>
      </x:c>
      <x:c r="P7" s="44" t="str">
        <x:f>IF(AND(P$3&lt;=$D7,P$2&gt;=$C7),"■","")</x:f>
      </x:c>
      <x:c r="Q7" s="44" t="str">
        <x:f>IF(AND(Q$3&lt;=$D7,Q$2&gt;=$C7),"■","")</x:f>
      </x:c>
      <x:c r="R7" s="44" t="str">
        <x:f>IF(AND(R$3&lt;=$D7,R$2&gt;=$C7),"■","")</x:f>
      </x:c>
      <x:c r="S7" s="44" t="str">
        <x:f>IF(AND(S$3&lt;=$D7,S$2&gt;=$C7),"■","")</x:f>
      </x:c>
      <x:c r="T7" s="44" t="str">
        <x:f>IF(AND(T$3&lt;=$D7,T$2&gt;=$C7),"■","")</x:f>
      </x:c>
      <x:c r="U7" s="44" t="str">
        <x:f>IF(AND(U$3&lt;=$D7,U$2&gt;=$C7),"■","")</x:f>
      </x:c>
      <x:c r="V7" s="44" t="str">
        <x:f>IF(AND(V$3&lt;=$D7,V$2&gt;=$C7),"■","")</x:f>
      </x:c>
      <x:c r="W7" s="44" t="str">
        <x:f>IF(AND(W$3&lt;=$D7,W$2&gt;=$C7),"■","")</x:f>
      </x:c>
      <x:c r="X7" s="44" t="str">
        <x:f>IF(AND(X$3&lt;=$D7,X$2&gt;=$C7),"■","")</x:f>
      </x:c>
      <x:c r="Y7" s="44" t="str">
        <x:f>IF(AND(Y$3&lt;=$D7,Y$2&gt;=$C7),"■","")</x:f>
      </x:c>
      <x:c r="Z7" s="44" t="str">
        <x:f>IF(AND(Z$3&lt;=$D7,Z$2&gt;=$C7),"■","")</x:f>
      </x:c>
      <x:c r="AA7" s="44" t="str">
        <x:f>IF(AND(AA$3&lt;=$D7,AA$2&gt;=$C7),"■","")</x:f>
      </x:c>
    </x:row>
    <x:row r="8">
      <x:c r="A8" s="22" t="str">
        <x:v>P4</x:v>
      </x:c>
      <x:c r="B8" s="22" t="str">
        <x:v>Curriculum, Teachers &amp; Timetable</x:v>
      </x:c>
      <x:c r="C8" s="23" t="n">
        <x:v>46468</x:v>
      </x:c>
      <x:c r="D8" s="23" t="n">
        <x:v>46521</x:v>
      </x:c>
      <x:c r="E8" s="22" t="str">
        <x:v>Lead Engineer</x:v>
      </x:c>
      <x:c r="F8" s="22" t="str">
        <x:v>Not Started</x:v>
      </x:c>
      <x:c r="G8" s="28" t="n">
        <x:v>0</x:v>
      </x:c>
      <x:c r="H8" s="44" t="str">
        <x:f>IF(AND(H$3&lt;=$D8,H$2&gt;=$C8),"■","")</x:f>
      </x:c>
      <x:c r="I8" s="44" t="str">
        <x:f>IF(AND(I$3&lt;=$D8,I$2&gt;=$C8),"■","")</x:f>
      </x:c>
      <x:c r="J8" s="44" t="str">
        <x:f>IF(AND(J$3&lt;=$D8,J$2&gt;=$C8),"■","")</x:f>
      </x:c>
      <x:c r="K8" s="44" t="str">
        <x:f>IF(AND(K$3&lt;=$D8,K$2&gt;=$C8),"■","")</x:f>
      </x:c>
      <x:c r="L8" s="44" t="str">
        <x:f>IF(AND(L$3&lt;=$D8,L$2&gt;=$C8),"■","")</x:f>
      </x:c>
      <x:c r="M8" s="44" t="str">
        <x:f>IF(AND(M$3&lt;=$D8,M$2&gt;=$C8),"■","")</x:f>
      </x:c>
      <x:c r="N8" s="44" t="str">
        <x:f>IF(AND(N$3&lt;=$D8,N$2&gt;=$C8),"■","")</x:f>
        <x:v>■</x:v>
      </x:c>
      <x:c r="O8" s="44" t="str">
        <x:f>IF(AND(O$3&lt;=$D8,O$2&gt;=$C8),"■","")</x:f>
        <x:v>■</x:v>
      </x:c>
      <x:c r="P8" s="44" t="str">
        <x:f>IF(AND(P$3&lt;=$D8,P$2&gt;=$C8),"■","")</x:f>
        <x:v>■</x:v>
      </x:c>
      <x:c r="Q8" s="44" t="str">
        <x:f>IF(AND(Q$3&lt;=$D8,Q$2&gt;=$C8),"■","")</x:f>
      </x:c>
      <x:c r="R8" s="44" t="str">
        <x:f>IF(AND(R$3&lt;=$D8,R$2&gt;=$C8),"■","")</x:f>
      </x:c>
      <x:c r="S8" s="44" t="str">
        <x:f>IF(AND(S$3&lt;=$D8,S$2&gt;=$C8),"■","")</x:f>
      </x:c>
      <x:c r="T8" s="44" t="str">
        <x:f>IF(AND(T$3&lt;=$D8,T$2&gt;=$C8),"■","")</x:f>
      </x:c>
      <x:c r="U8" s="44" t="str">
        <x:f>IF(AND(U$3&lt;=$D8,U$2&gt;=$C8),"■","")</x:f>
      </x:c>
      <x:c r="V8" s="44" t="str">
        <x:f>IF(AND(V$3&lt;=$D8,V$2&gt;=$C8),"■","")</x:f>
      </x:c>
      <x:c r="W8" s="44" t="str">
        <x:f>IF(AND(W$3&lt;=$D8,W$2&gt;=$C8),"■","")</x:f>
      </x:c>
      <x:c r="X8" s="44" t="str">
        <x:f>IF(AND(X$3&lt;=$D8,X$2&gt;=$C8),"■","")</x:f>
      </x:c>
      <x:c r="Y8" s="44" t="str">
        <x:f>IF(AND(Y$3&lt;=$D8,Y$2&gt;=$C8),"■","")</x:f>
      </x:c>
      <x:c r="Z8" s="44" t="str">
        <x:f>IF(AND(Z$3&lt;=$D8,Z$2&gt;=$C8),"■","")</x:f>
      </x:c>
      <x:c r="AA8" s="44" t="str">
        <x:f>IF(AND(AA$3&lt;=$D8,AA$2&gt;=$C8),"■","")</x:f>
      </x:c>
    </x:row>
    <x:row r="9">
      <x:c r="A9" s="22" t="str">
        <x:v>P5</x:v>
      </x:c>
      <x:c r="B9" s="22" t="str">
        <x:v>Attendance, Homework &amp; Notifications Core</x:v>
      </x:c>
      <x:c r="C9" s="23" t="n">
        <x:v>46503</x:v>
      </x:c>
      <x:c r="D9" s="23" t="n">
        <x:v>46563</x:v>
      </x:c>
      <x:c r="E9" s="22" t="str">
        <x:v>Lead Engineer</x:v>
      </x:c>
      <x:c r="F9" s="22" t="str">
        <x:v>Not Started</x:v>
      </x:c>
      <x:c r="G9" s="28" t="n">
        <x:v>0</x:v>
      </x:c>
      <x:c r="H9" s="44" t="str">
        <x:f>IF(AND(H$3&lt;=$D9,H$2&gt;=$C9),"■","")</x:f>
      </x:c>
      <x:c r="I9" s="44" t="str">
        <x:f>IF(AND(I$3&lt;=$D9,I$2&gt;=$C9),"■","")</x:f>
      </x:c>
      <x:c r="J9" s="44" t="str">
        <x:f>IF(AND(J$3&lt;=$D9,J$2&gt;=$C9),"■","")</x:f>
      </x:c>
      <x:c r="K9" s="44" t="str">
        <x:f>IF(AND(K$3&lt;=$D9,K$2&gt;=$C9),"■","")</x:f>
      </x:c>
      <x:c r="L9" s="44" t="str">
        <x:f>IF(AND(L$3&lt;=$D9,L$2&gt;=$C9),"■","")</x:f>
      </x:c>
      <x:c r="M9" s="44" t="str">
        <x:f>IF(AND(M$3&lt;=$D9,M$2&gt;=$C9),"■","")</x:f>
      </x:c>
      <x:c r="N9" s="44" t="str">
        <x:f>IF(AND(N$3&lt;=$D9,N$2&gt;=$C9),"■","")</x:f>
      </x:c>
      <x:c r="O9" s="44" t="str">
        <x:f>IF(AND(O$3&lt;=$D9,O$2&gt;=$C9),"■","")</x:f>
        <x:v>■</x:v>
      </x:c>
      <x:c r="P9" s="44" t="str">
        <x:f>IF(AND(P$3&lt;=$D9,P$2&gt;=$C9),"■","")</x:f>
        <x:v>■</x:v>
      </x:c>
      <x:c r="Q9" s="44" t="str">
        <x:f>IF(AND(Q$3&lt;=$D9,Q$2&gt;=$C9),"■","")</x:f>
        <x:v>■</x:v>
      </x:c>
      <x:c r="R9" s="44" t="str">
        <x:f>IF(AND(R$3&lt;=$D9,R$2&gt;=$C9),"■","")</x:f>
      </x:c>
      <x:c r="S9" s="44" t="str">
        <x:f>IF(AND(S$3&lt;=$D9,S$2&gt;=$C9),"■","")</x:f>
      </x:c>
      <x:c r="T9" s="44" t="str">
        <x:f>IF(AND(T$3&lt;=$D9,T$2&gt;=$C9),"■","")</x:f>
      </x:c>
      <x:c r="U9" s="44" t="str">
        <x:f>IF(AND(U$3&lt;=$D9,U$2&gt;=$C9),"■","")</x:f>
      </x:c>
      <x:c r="V9" s="44" t="str">
        <x:f>IF(AND(V$3&lt;=$D9,V$2&gt;=$C9),"■","")</x:f>
      </x:c>
      <x:c r="W9" s="44" t="str">
        <x:f>IF(AND(W$3&lt;=$D9,W$2&gt;=$C9),"■","")</x:f>
      </x:c>
      <x:c r="X9" s="44" t="str">
        <x:f>IF(AND(X$3&lt;=$D9,X$2&gt;=$C9),"■","")</x:f>
      </x:c>
      <x:c r="Y9" s="44" t="str">
        <x:f>IF(AND(Y$3&lt;=$D9,Y$2&gt;=$C9),"■","")</x:f>
      </x:c>
      <x:c r="Z9" s="44" t="str">
        <x:f>IF(AND(Z$3&lt;=$D9,Z$2&gt;=$C9),"■","")</x:f>
      </x:c>
      <x:c r="AA9" s="44" t="str">
        <x:f>IF(AND(AA$3&lt;=$D9,AA$2&gt;=$C9),"■","")</x:f>
      </x:c>
    </x:row>
    <x:row r="10">
      <x:c r="A10" s="22" t="str">
        <x:v>P6</x:v>
      </x:c>
      <x:c r="B10" s="22" t="str">
        <x:v>Exams, Marks &amp; Results</x:v>
      </x:c>
      <x:c r="C10" s="23" t="n">
        <x:v>46552</x:v>
      </x:c>
      <x:c r="D10" s="23" t="n">
        <x:v>46619</x:v>
      </x:c>
      <x:c r="E10" s="22" t="str">
        <x:v>Lead Engineer</x:v>
      </x:c>
      <x:c r="F10" s="22" t="str">
        <x:v>Not Started</x:v>
      </x:c>
      <x:c r="G10" s="28" t="n">
        <x:v>0</x:v>
      </x:c>
      <x:c r="H10" s="44" t="str">
        <x:f>IF(AND(H$3&lt;=$D10,H$2&gt;=$C10),"■","")</x:f>
      </x:c>
      <x:c r="I10" s="44" t="str">
        <x:f>IF(AND(I$3&lt;=$D10,I$2&gt;=$C10),"■","")</x:f>
      </x:c>
      <x:c r="J10" s="44" t="str">
        <x:f>IF(AND(J$3&lt;=$D10,J$2&gt;=$C10),"■","")</x:f>
      </x:c>
      <x:c r="K10" s="44" t="str">
        <x:f>IF(AND(K$3&lt;=$D10,K$2&gt;=$C10),"■","")</x:f>
      </x:c>
      <x:c r="L10" s="44" t="str">
        <x:f>IF(AND(L$3&lt;=$D10,L$2&gt;=$C10),"■","")</x:f>
      </x:c>
      <x:c r="M10" s="44" t="str">
        <x:f>IF(AND(M$3&lt;=$D10,M$2&gt;=$C10),"■","")</x:f>
      </x:c>
      <x:c r="N10" s="44" t="str">
        <x:f>IF(AND(N$3&lt;=$D10,N$2&gt;=$C10),"■","")</x:f>
      </x:c>
      <x:c r="O10" s="44" t="str">
        <x:f>IF(AND(O$3&lt;=$D10,O$2&gt;=$C10),"■","")</x:f>
      </x:c>
      <x:c r="P10" s="44" t="str">
        <x:f>IF(AND(P$3&lt;=$D10,P$2&gt;=$C10),"■","")</x:f>
      </x:c>
      <x:c r="Q10" s="44" t="str">
        <x:f>IF(AND(Q$3&lt;=$D10,Q$2&gt;=$C10),"■","")</x:f>
        <x:v>■</x:v>
      </x:c>
      <x:c r="R10" s="44" t="str">
        <x:f>IF(AND(R$3&lt;=$D10,R$2&gt;=$C10),"■","")</x:f>
        <x:v>■</x:v>
      </x:c>
      <x:c r="S10" s="44" t="str">
        <x:f>IF(AND(S$3&lt;=$D10,S$2&gt;=$C10),"■","")</x:f>
        <x:v>■</x:v>
      </x:c>
      <x:c r="T10" s="44" t="str">
        <x:f>IF(AND(T$3&lt;=$D10,T$2&gt;=$C10),"■","")</x:f>
      </x:c>
      <x:c r="U10" s="44" t="str">
        <x:f>IF(AND(U$3&lt;=$D10,U$2&gt;=$C10),"■","")</x:f>
      </x:c>
      <x:c r="V10" s="44" t="str">
        <x:f>IF(AND(V$3&lt;=$D10,V$2&gt;=$C10),"■","")</x:f>
      </x:c>
      <x:c r="W10" s="44" t="str">
        <x:f>IF(AND(W$3&lt;=$D10,W$2&gt;=$C10),"■","")</x:f>
      </x:c>
      <x:c r="X10" s="44" t="str">
        <x:f>IF(AND(X$3&lt;=$D10,X$2&gt;=$C10),"■","")</x:f>
      </x:c>
      <x:c r="Y10" s="44" t="str">
        <x:f>IF(AND(Y$3&lt;=$D10,Y$2&gt;=$C10),"■","")</x:f>
      </x:c>
      <x:c r="Z10" s="44" t="str">
        <x:f>IF(AND(Z$3&lt;=$D10,Z$2&gt;=$C10),"■","")</x:f>
      </x:c>
      <x:c r="AA10" s="44" t="str">
        <x:f>IF(AND(AA$3&lt;=$D10,AA$2&gt;=$C10),"■","")</x:f>
      </x:c>
    </x:row>
    <x:row r="11">
      <x:c r="A11" s="22" t="str">
        <x:v>P7</x:v>
      </x:c>
      <x:c r="B11" s="22" t="str">
        <x:v>Fees, Payments &amp; Finance</x:v>
      </x:c>
      <x:c r="C11" s="23" t="n">
        <x:v>46608</x:v>
      </x:c>
      <x:c r="D11" s="23" t="n">
        <x:v>46682</x:v>
      </x:c>
      <x:c r="E11" s="22" t="str">
        <x:v>Lead Engineer</x:v>
      </x:c>
      <x:c r="F11" s="22" t="str">
        <x:v>Not Started</x:v>
      </x:c>
      <x:c r="G11" s="28" t="n">
        <x:v>0</x:v>
      </x:c>
      <x:c r="H11" s="44" t="str">
        <x:f>IF(AND(H$3&lt;=$D11,H$2&gt;=$C11),"■","")</x:f>
      </x:c>
      <x:c r="I11" s="44" t="str">
        <x:f>IF(AND(I$3&lt;=$D11,I$2&gt;=$C11),"■","")</x:f>
      </x:c>
      <x:c r="J11" s="44" t="str">
        <x:f>IF(AND(J$3&lt;=$D11,J$2&gt;=$C11),"■","")</x:f>
      </x:c>
      <x:c r="K11" s="44" t="str">
        <x:f>IF(AND(K$3&lt;=$D11,K$2&gt;=$C11),"■","")</x:f>
      </x:c>
      <x:c r="L11" s="44" t="str">
        <x:f>IF(AND(L$3&lt;=$D11,L$2&gt;=$C11),"■","")</x:f>
      </x:c>
      <x:c r="M11" s="44" t="str">
        <x:f>IF(AND(M$3&lt;=$D11,M$2&gt;=$C11),"■","")</x:f>
      </x:c>
      <x:c r="N11" s="44" t="str">
        <x:f>IF(AND(N$3&lt;=$D11,N$2&gt;=$C11),"■","")</x:f>
      </x:c>
      <x:c r="O11" s="44" t="str">
        <x:f>IF(AND(O$3&lt;=$D11,O$2&gt;=$C11),"■","")</x:f>
      </x:c>
      <x:c r="P11" s="44" t="str">
        <x:f>IF(AND(P$3&lt;=$D11,P$2&gt;=$C11),"■","")</x:f>
      </x:c>
      <x:c r="Q11" s="44" t="str">
        <x:f>IF(AND(Q$3&lt;=$D11,Q$2&gt;=$C11),"■","")</x:f>
      </x:c>
      <x:c r="R11" s="44" t="str">
        <x:f>IF(AND(R$3&lt;=$D11,R$2&gt;=$C11),"■","")</x:f>
      </x:c>
      <x:c r="S11" s="44" t="str">
        <x:f>IF(AND(S$3&lt;=$D11,S$2&gt;=$C11),"■","")</x:f>
        <x:v>■</x:v>
      </x:c>
      <x:c r="T11" s="44" t="str">
        <x:f>IF(AND(T$3&lt;=$D11,T$2&gt;=$C11),"■","")</x:f>
        <x:v>■</x:v>
      </x:c>
      <x:c r="U11" s="44" t="str">
        <x:f>IF(AND(U$3&lt;=$D11,U$2&gt;=$C11),"■","")</x:f>
        <x:v>■</x:v>
      </x:c>
      <x:c r="V11" s="44" t="str">
        <x:f>IF(AND(V$3&lt;=$D11,V$2&gt;=$C11),"■","")</x:f>
      </x:c>
      <x:c r="W11" s="44" t="str">
        <x:f>IF(AND(W$3&lt;=$D11,W$2&gt;=$C11),"■","")</x:f>
      </x:c>
      <x:c r="X11" s="44" t="str">
        <x:f>IF(AND(X$3&lt;=$D11,X$2&gt;=$C11),"■","")</x:f>
      </x:c>
      <x:c r="Y11" s="44" t="str">
        <x:f>IF(AND(Y$3&lt;=$D11,Y$2&gt;=$C11),"■","")</x:f>
      </x:c>
      <x:c r="Z11" s="44" t="str">
        <x:f>IF(AND(Z$3&lt;=$D11,Z$2&gt;=$C11),"■","")</x:f>
      </x:c>
      <x:c r="AA11" s="44" t="str">
        <x:f>IF(AND(AA$3&lt;=$D11,AA$2&gt;=$C11),"■","")</x:f>
      </x:c>
    </x:row>
    <x:row r="12">
      <x:c r="A12" s="22" t="str">
        <x:v>P8</x:v>
      </x:c>
      <x:c r="B12" s="22" t="str">
        <x:v>HR, Payroll &amp; Leave</x:v>
      </x:c>
      <x:c r="C12" s="23" t="n">
        <x:v>46664</x:v>
      </x:c>
      <x:c r="D12" s="23" t="n">
        <x:v>46717</x:v>
      </x:c>
      <x:c r="E12" s="22" t="str">
        <x:v>Lead Engineer</x:v>
      </x:c>
      <x:c r="F12" s="22" t="str">
        <x:v>Not Started</x:v>
      </x:c>
      <x:c r="G12" s="28" t="n">
        <x:v>0</x:v>
      </x:c>
      <x:c r="H12" s="44" t="str">
        <x:f>IF(AND(H$3&lt;=$D12,H$2&gt;=$C12),"■","")</x:f>
      </x:c>
      <x:c r="I12" s="44" t="str">
        <x:f>IF(AND(I$3&lt;=$D12,I$2&gt;=$C12),"■","")</x:f>
      </x:c>
      <x:c r="J12" s="44" t="str">
        <x:f>IF(AND(J$3&lt;=$D12,J$2&gt;=$C12),"■","")</x:f>
      </x:c>
      <x:c r="K12" s="44" t="str">
        <x:f>IF(AND(K$3&lt;=$D12,K$2&gt;=$C12),"■","")</x:f>
      </x:c>
      <x:c r="L12" s="44" t="str">
        <x:f>IF(AND(L$3&lt;=$D12,L$2&gt;=$C12),"■","")</x:f>
      </x:c>
      <x:c r="M12" s="44" t="str">
        <x:f>IF(AND(M$3&lt;=$D12,M$2&gt;=$C12),"■","")</x:f>
      </x:c>
      <x:c r="N12" s="44" t="str">
        <x:f>IF(AND(N$3&lt;=$D12,N$2&gt;=$C12),"■","")</x:f>
      </x:c>
      <x:c r="O12" s="44" t="str">
        <x:f>IF(AND(O$3&lt;=$D12,O$2&gt;=$C12),"■","")</x:f>
      </x:c>
      <x:c r="P12" s="44" t="str">
        <x:f>IF(AND(P$3&lt;=$D12,P$2&gt;=$C12),"■","")</x:f>
      </x:c>
      <x:c r="Q12" s="44" t="str">
        <x:f>IF(AND(Q$3&lt;=$D12,Q$2&gt;=$C12),"■","")</x:f>
      </x:c>
      <x:c r="R12" s="44" t="str">
        <x:f>IF(AND(R$3&lt;=$D12,R$2&gt;=$C12),"■","")</x:f>
      </x:c>
      <x:c r="S12" s="44" t="str">
        <x:f>IF(AND(S$3&lt;=$D12,S$2&gt;=$C12),"■","")</x:f>
      </x:c>
      <x:c r="T12" s="44" t="str">
        <x:f>IF(AND(T$3&lt;=$D12,T$2&gt;=$C12),"■","")</x:f>
      </x:c>
      <x:c r="U12" s="44" t="str">
        <x:f>IF(AND(U$3&lt;=$D12,U$2&gt;=$C12),"■","")</x:f>
        <x:v>■</x:v>
      </x:c>
      <x:c r="V12" s="44" t="str">
        <x:f>IF(AND(V$3&lt;=$D12,V$2&gt;=$C12),"■","")</x:f>
        <x:v>■</x:v>
      </x:c>
      <x:c r="W12" s="44" t="str">
        <x:f>IF(AND(W$3&lt;=$D12,W$2&gt;=$C12),"■","")</x:f>
      </x:c>
      <x:c r="X12" s="44" t="str">
        <x:f>IF(AND(X$3&lt;=$D12,X$2&gt;=$C12),"■","")</x:f>
      </x:c>
      <x:c r="Y12" s="44" t="str">
        <x:f>IF(AND(Y$3&lt;=$D12,Y$2&gt;=$C12),"■","")</x:f>
      </x:c>
      <x:c r="Z12" s="44" t="str">
        <x:f>IF(AND(Z$3&lt;=$D12,Z$2&gt;=$C12),"■","")</x:f>
      </x:c>
      <x:c r="AA12" s="44" t="str">
        <x:f>IF(AND(AA$3&lt;=$D12,AA$2&gt;=$C12),"■","")</x:f>
      </x:c>
    </x:row>
    <x:row r="13">
      <x:c r="A13" s="22" t="str">
        <x:v>P9</x:v>
      </x:c>
      <x:c r="B13" s="22" t="str">
        <x:v>Library, Transport, Hostel &amp; Medical</x:v>
      </x:c>
      <x:c r="C13" s="23" t="n">
        <x:v>46699</x:v>
      </x:c>
      <x:c r="D13" s="23" t="n">
        <x:v>46766</x:v>
      </x:c>
      <x:c r="E13" s="22" t="str">
        <x:v>Lead Engineer</x:v>
      </x:c>
      <x:c r="F13" s="22" t="str">
        <x:v>Not Started</x:v>
      </x:c>
      <x:c r="G13" s="28" t="n">
        <x:v>0</x:v>
      </x:c>
      <x:c r="H13" s="44" t="str">
        <x:f>IF(AND(H$3&lt;=$D13,H$2&gt;=$C13),"■","")</x:f>
      </x:c>
      <x:c r="I13" s="44" t="str">
        <x:f>IF(AND(I$3&lt;=$D13,I$2&gt;=$C13),"■","")</x:f>
      </x:c>
      <x:c r="J13" s="44" t="str">
        <x:f>IF(AND(J$3&lt;=$D13,J$2&gt;=$C13),"■","")</x:f>
      </x:c>
      <x:c r="K13" s="44" t="str">
        <x:f>IF(AND(K$3&lt;=$D13,K$2&gt;=$C13),"■","")</x:f>
      </x:c>
      <x:c r="L13" s="44" t="str">
        <x:f>IF(AND(L$3&lt;=$D13,L$2&gt;=$C13),"■","")</x:f>
      </x:c>
      <x:c r="M13" s="44" t="str">
        <x:f>IF(AND(M$3&lt;=$D13,M$2&gt;=$C13),"■","")</x:f>
      </x:c>
      <x:c r="N13" s="44" t="str">
        <x:f>IF(AND(N$3&lt;=$D13,N$2&gt;=$C13),"■","")</x:f>
      </x:c>
      <x:c r="O13" s="44" t="str">
        <x:f>IF(AND(O$3&lt;=$D13,O$2&gt;=$C13),"■","")</x:f>
      </x:c>
      <x:c r="P13" s="44" t="str">
        <x:f>IF(AND(P$3&lt;=$D13,P$2&gt;=$C13),"■","")</x:f>
      </x:c>
      <x:c r="Q13" s="44" t="str">
        <x:f>IF(AND(Q$3&lt;=$D13,Q$2&gt;=$C13),"■","")</x:f>
      </x:c>
      <x:c r="R13" s="44" t="str">
        <x:f>IF(AND(R$3&lt;=$D13,R$2&gt;=$C13),"■","")</x:f>
      </x:c>
      <x:c r="S13" s="44" t="str">
        <x:f>IF(AND(S$3&lt;=$D13,S$2&gt;=$C13),"■","")</x:f>
      </x:c>
      <x:c r="T13" s="44" t="str">
        <x:f>IF(AND(T$3&lt;=$D13,T$2&gt;=$C13),"■","")</x:f>
      </x:c>
      <x:c r="U13" s="44" t="str">
        <x:f>IF(AND(U$3&lt;=$D13,U$2&gt;=$C13),"■","")</x:f>
      </x:c>
      <x:c r="V13" s="44" t="str">
        <x:f>IF(AND(V$3&lt;=$D13,V$2&gt;=$C13),"■","")</x:f>
        <x:v>■</x:v>
      </x:c>
      <x:c r="W13" s="44" t="str">
        <x:f>IF(AND(W$3&lt;=$D13,W$2&gt;=$C13),"■","")</x:f>
        <x:v>■</x:v>
      </x:c>
      <x:c r="X13" s="44" t="str">
        <x:f>IF(AND(X$3&lt;=$D13,X$2&gt;=$C13),"■","")</x:f>
        <x:v>■</x:v>
      </x:c>
      <x:c r="Y13" s="44" t="str">
        <x:f>IF(AND(Y$3&lt;=$D13,Y$2&gt;=$C13),"■","")</x:f>
      </x:c>
      <x:c r="Z13" s="44" t="str">
        <x:f>IF(AND(Z$3&lt;=$D13,Z$2&gt;=$C13),"■","")</x:f>
      </x:c>
      <x:c r="AA13" s="44" t="str">
        <x:f>IF(AND(AA$3&lt;=$D13,AA$2&gt;=$C13),"■","")</x:f>
      </x:c>
    </x:row>
    <x:row r="14">
      <x:c r="A14" s="22" t="str">
        <x:v>P10</x:v>
      </x:c>
      <x:c r="B14" s="22" t="str">
        <x:v>Offline Sync, Backup &amp; Hardening</x:v>
      </x:c>
      <x:c r="C14" s="23" t="n">
        <x:v>46734</x:v>
      </x:c>
      <x:c r="D14" s="23" t="n">
        <x:v>46794</x:v>
      </x:c>
      <x:c r="E14" s="22" t="str">
        <x:v>Lead Engineer / QA</x:v>
      </x:c>
      <x:c r="F14" s="22" t="str">
        <x:v>Not Started</x:v>
      </x:c>
      <x:c r="G14" s="28" t="n">
        <x:v>0</x:v>
      </x:c>
      <x:c r="H14" s="44" t="str">
        <x:f>IF(AND(H$3&lt;=$D14,H$2&gt;=$C14),"■","")</x:f>
      </x:c>
      <x:c r="I14" s="44" t="str">
        <x:f>IF(AND(I$3&lt;=$D14,I$2&gt;=$C14),"■","")</x:f>
      </x:c>
      <x:c r="J14" s="44" t="str">
        <x:f>IF(AND(J$3&lt;=$D14,J$2&gt;=$C14),"■","")</x:f>
      </x:c>
      <x:c r="K14" s="44" t="str">
        <x:f>IF(AND(K$3&lt;=$D14,K$2&gt;=$C14),"■","")</x:f>
      </x:c>
      <x:c r="L14" s="44" t="str">
        <x:f>IF(AND(L$3&lt;=$D14,L$2&gt;=$C14),"■","")</x:f>
      </x:c>
      <x:c r="M14" s="44" t="str">
        <x:f>IF(AND(M$3&lt;=$D14,M$2&gt;=$C14),"■","")</x:f>
      </x:c>
      <x:c r="N14" s="44" t="str">
        <x:f>IF(AND(N$3&lt;=$D14,N$2&gt;=$C14),"■","")</x:f>
      </x:c>
      <x:c r="O14" s="44" t="str">
        <x:f>IF(AND(O$3&lt;=$D14,O$2&gt;=$C14),"■","")</x:f>
      </x:c>
      <x:c r="P14" s="44" t="str">
        <x:f>IF(AND(P$3&lt;=$D14,P$2&gt;=$C14),"■","")</x:f>
      </x:c>
      <x:c r="Q14" s="44" t="str">
        <x:f>IF(AND(Q$3&lt;=$D14,Q$2&gt;=$C14),"■","")</x:f>
      </x:c>
      <x:c r="R14" s="44" t="str">
        <x:f>IF(AND(R$3&lt;=$D14,R$2&gt;=$C14),"■","")</x:f>
      </x:c>
      <x:c r="S14" s="44" t="str">
        <x:f>IF(AND(S$3&lt;=$D14,S$2&gt;=$C14),"■","")</x:f>
      </x:c>
      <x:c r="T14" s="44" t="str">
        <x:f>IF(AND(T$3&lt;=$D14,T$2&gt;=$C14),"■","")</x:f>
      </x:c>
      <x:c r="U14" s="44" t="str">
        <x:f>IF(AND(U$3&lt;=$D14,U$2&gt;=$C14),"■","")</x:f>
      </x:c>
      <x:c r="V14" s="44" t="str">
        <x:f>IF(AND(V$3&lt;=$D14,V$2&gt;=$C14),"■","")</x:f>
      </x:c>
      <x:c r="W14" s="44" t="str">
        <x:f>IF(AND(W$3&lt;=$D14,W$2&gt;=$C14),"■","")</x:f>
        <x:v>■</x:v>
      </x:c>
      <x:c r="X14" s="44" t="str">
        <x:f>IF(AND(X$3&lt;=$D14,X$2&gt;=$C14),"■","")</x:f>
        <x:v>■</x:v>
      </x:c>
      <x:c r="Y14" s="44" t="str">
        <x:f>IF(AND(Y$3&lt;=$D14,Y$2&gt;=$C14),"■","")</x:f>
        <x:v>■</x:v>
      </x:c>
      <x:c r="Z14" s="44" t="str">
        <x:f>IF(AND(Z$3&lt;=$D14,Z$2&gt;=$C14),"■","")</x:f>
      </x:c>
      <x:c r="AA14" s="44" t="str">
        <x:f>IF(AND(AA$3&lt;=$D14,AA$2&gt;=$C14),"■","")</x:f>
      </x:c>
    </x:row>
    <x:row r="15">
      <x:c r="A15" s="22" t="str">
        <x:v>P11</x:v>
      </x:c>
      <x:c r="B15" s="22" t="str">
        <x:v>Analytics, Automation &amp; AI</x:v>
      </x:c>
      <x:c r="C15" s="23" t="n">
        <x:v>46769</x:v>
      </x:c>
      <x:c r="D15" s="23" t="n">
        <x:v>46829</x:v>
      </x:c>
      <x:c r="E15" s="22" t="str">
        <x:v>Lead Engineer</x:v>
      </x:c>
      <x:c r="F15" s="22" t="str">
        <x:v>Not Started</x:v>
      </x:c>
      <x:c r="G15" s="28" t="n">
        <x:v>0</x:v>
      </x:c>
      <x:c r="H15" s="44" t="str">
        <x:f>IF(AND(H$3&lt;=$D15,H$2&gt;=$C15),"■","")</x:f>
      </x:c>
      <x:c r="I15" s="44" t="str">
        <x:f>IF(AND(I$3&lt;=$D15,I$2&gt;=$C15),"■","")</x:f>
      </x:c>
      <x:c r="J15" s="44" t="str">
        <x:f>IF(AND(J$3&lt;=$D15,J$2&gt;=$C15),"■","")</x:f>
      </x:c>
      <x:c r="K15" s="44" t="str">
        <x:f>IF(AND(K$3&lt;=$D15,K$2&gt;=$C15),"■","")</x:f>
      </x:c>
      <x:c r="L15" s="44" t="str">
        <x:f>IF(AND(L$3&lt;=$D15,L$2&gt;=$C15),"■","")</x:f>
      </x:c>
      <x:c r="M15" s="44" t="str">
        <x:f>IF(AND(M$3&lt;=$D15,M$2&gt;=$C15),"■","")</x:f>
      </x:c>
      <x:c r="N15" s="44" t="str">
        <x:f>IF(AND(N$3&lt;=$D15,N$2&gt;=$C15),"■","")</x:f>
      </x:c>
      <x:c r="O15" s="44" t="str">
        <x:f>IF(AND(O$3&lt;=$D15,O$2&gt;=$C15),"■","")</x:f>
      </x:c>
      <x:c r="P15" s="44" t="str">
        <x:f>IF(AND(P$3&lt;=$D15,P$2&gt;=$C15),"■","")</x:f>
      </x:c>
      <x:c r="Q15" s="44" t="str">
        <x:f>IF(AND(Q$3&lt;=$D15,Q$2&gt;=$C15),"■","")</x:f>
      </x:c>
      <x:c r="R15" s="44" t="str">
        <x:f>IF(AND(R$3&lt;=$D15,R$2&gt;=$C15),"■","")</x:f>
      </x:c>
      <x:c r="S15" s="44" t="str">
        <x:f>IF(AND(S$3&lt;=$D15,S$2&gt;=$C15),"■","")</x:f>
      </x:c>
      <x:c r="T15" s="44" t="str">
        <x:f>IF(AND(T$3&lt;=$D15,T$2&gt;=$C15),"■","")</x:f>
      </x:c>
      <x:c r="U15" s="44" t="str">
        <x:f>IF(AND(U$3&lt;=$D15,U$2&gt;=$C15),"■","")</x:f>
      </x:c>
      <x:c r="V15" s="44" t="str">
        <x:f>IF(AND(V$3&lt;=$D15,V$2&gt;=$C15),"■","")</x:f>
      </x:c>
      <x:c r="W15" s="44" t="str">
        <x:f>IF(AND(W$3&lt;=$D15,W$2&gt;=$C15),"■","")</x:f>
      </x:c>
      <x:c r="X15" s="44" t="str">
        <x:f>IF(AND(X$3&lt;=$D15,X$2&gt;=$C15),"■","")</x:f>
        <x:v>■</x:v>
      </x:c>
      <x:c r="Y15" s="44" t="str">
        <x:f>IF(AND(Y$3&lt;=$D15,Y$2&gt;=$C15),"■","")</x:f>
        <x:v>■</x:v>
      </x:c>
      <x:c r="Z15" s="44" t="str">
        <x:f>IF(AND(Z$3&lt;=$D15,Z$2&gt;=$C15),"■","")</x:f>
        <x:v>■</x:v>
      </x:c>
      <x:c r="AA15" s="44" t="str">
        <x:f>IF(AND(AA$3&lt;=$D15,AA$2&gt;=$C15),"■","")</x:f>
      </x:c>
    </x:row>
    <x:row r="16">
      <x:c r="A16" s="22" t="str">
        <x:v>P12</x:v>
      </x:c>
      <x:c r="B16" s="22" t="str">
        <x:v>UAT, Security, Performance &amp; Launch</x:v>
      </x:c>
      <x:c r="C16" s="23" t="n">
        <x:v>46813</x:v>
      </x:c>
      <x:c r="D16" s="23" t="n">
        <x:v>46857</x:v>
      </x:c>
      <x:c r="E16" s="22" t="str">
        <x:v>Lead Engineer / QA</x:v>
      </x:c>
      <x:c r="F16" s="22" t="str">
        <x:v>Not Started</x:v>
      </x:c>
      <x:c r="G16" s="28" t="n">
        <x:v>0</x:v>
      </x:c>
      <x:c r="H16" s="44" t="str">
        <x:f>IF(AND(H$3&lt;=$D16,H$2&gt;=$C16),"■","")</x:f>
      </x:c>
      <x:c r="I16" s="44" t="str">
        <x:f>IF(AND(I$3&lt;=$D16,I$2&gt;=$C16),"■","")</x:f>
      </x:c>
      <x:c r="J16" s="44" t="str">
        <x:f>IF(AND(J$3&lt;=$D16,J$2&gt;=$C16),"■","")</x:f>
      </x:c>
      <x:c r="K16" s="44" t="str">
        <x:f>IF(AND(K$3&lt;=$D16,K$2&gt;=$C16),"■","")</x:f>
      </x:c>
      <x:c r="L16" s="44" t="str">
        <x:f>IF(AND(L$3&lt;=$D16,L$2&gt;=$C16),"■","")</x:f>
      </x:c>
      <x:c r="M16" s="44" t="str">
        <x:f>IF(AND(M$3&lt;=$D16,M$2&gt;=$C16),"■","")</x:f>
      </x:c>
      <x:c r="N16" s="44" t="str">
        <x:f>IF(AND(N$3&lt;=$D16,N$2&gt;=$C16),"■","")</x:f>
      </x:c>
      <x:c r="O16" s="44" t="str">
        <x:f>IF(AND(O$3&lt;=$D16,O$2&gt;=$C16),"■","")</x:f>
      </x:c>
      <x:c r="P16" s="44" t="str">
        <x:f>IF(AND(P$3&lt;=$D16,P$2&gt;=$C16),"■","")</x:f>
      </x:c>
      <x:c r="Q16" s="44" t="str">
        <x:f>IF(AND(Q$3&lt;=$D16,Q$2&gt;=$C16),"■","")</x:f>
      </x:c>
      <x:c r="R16" s="44" t="str">
        <x:f>IF(AND(R$3&lt;=$D16,R$2&gt;=$C16),"■","")</x:f>
      </x:c>
      <x:c r="S16" s="44" t="str">
        <x:f>IF(AND(S$3&lt;=$D16,S$2&gt;=$C16),"■","")</x:f>
      </x:c>
      <x:c r="T16" s="44" t="str">
        <x:f>IF(AND(T$3&lt;=$D16,T$2&gt;=$C16),"■","")</x:f>
      </x:c>
      <x:c r="U16" s="44" t="str">
        <x:f>IF(AND(U$3&lt;=$D16,U$2&gt;=$C16),"■","")</x:f>
      </x:c>
      <x:c r="V16" s="44" t="str">
        <x:f>IF(AND(V$3&lt;=$D16,V$2&gt;=$C16),"■","")</x:f>
      </x:c>
      <x:c r="W16" s="44" t="str">
        <x:f>IF(AND(W$3&lt;=$D16,W$2&gt;=$C16),"■","")</x:f>
      </x:c>
      <x:c r="X16" s="44" t="str">
        <x:f>IF(AND(X$3&lt;=$D16,X$2&gt;=$C16),"■","")</x:f>
      </x:c>
      <x:c r="Y16" s="44" t="str">
        <x:f>IF(AND(Y$3&lt;=$D16,Y$2&gt;=$C16),"■","")</x:f>
      </x:c>
      <x:c r="Z16" s="44" t="str">
        <x:f>IF(AND(Z$3&lt;=$D16,Z$2&gt;=$C16),"■","")</x:f>
        <x:v>■</x:v>
      </x:c>
      <x:c r="AA16" s="44" t="str">
        <x:f>IF(AND(AA$3&lt;=$D16,AA$2&gt;=$C16),"■","")</x:f>
        <x:v>■</x:v>
      </x:c>
    </x:row>
  </x:sheetData>
  <x:mergeCells>
    <x:mergeCell ref="A1:G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0" hidden="0" customWidth="1"/>
    <x:col min="4" max="4" width="10" hidden="0" customWidth="1"/>
    <x:col min="5" max="5" width="16" hidden="0" customWidth="1"/>
    <x:col min="6" max="6" width="12" hidden="0" customWidth="1"/>
    <x:col min="7" max="7" width="9" hidden="0" customWidth="1"/>
    <x:col min="9" max="9" width="16" hidden="0" customWidth="1"/>
    <x:col min="10" max="10" width="10" hidden="0" customWidth="1"/>
  </x:cols>
  <x:sheetData>
    <x:row r="1">
      <x:c r="A1" s="5" t="str">
        <x:v>School OS SaaS - Project Management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4" t="str">
        <x:v>Metric</x:v>
      </x:c>
      <x:c r="B3" s="14" t="str">
        <x:v>Value</x:v>
      </x:c>
      <x:c r="D3" s="14" t="str">
        <x:v>Phase</x:v>
      </x:c>
      <x:c r="E3" s="14" t="str">
        <x:v>Status</x:v>
      </x:c>
      <x:c r="F3" s="14" t="str">
        <x:v>Progress %</x:v>
      </x:c>
      <x:c r="G3" s="14" t="str">
        <x:v>Weeks</x:v>
      </x:c>
      <x:c r="I3" s="14" t="str">
        <x:v>Task Status</x:v>
      </x:c>
      <x:c r="J3" s="14" t="str">
        <x:v>Count</x:v>
      </x:c>
    </x:row>
    <x:row r="4">
      <x:c r="A4" s="22" t="str">
        <x:v>Project Start</x:v>
      </x:c>
      <x:c r="B4" s="23" t="n">
        <x:v>46286</x:v>
      </x:c>
      <x:c r="D4" t="str">
        <x:v>P0</x:v>
      </x:c>
      <x:c r="E4" t="str">
        <x:v>In Progress</x:v>
      </x:c>
      <x:c r="F4" s="26" t="n">
        <x:v>0.75</x:v>
      </x:c>
      <x:c r="G4" t="n">
        <x:v>4</x:v>
      </x:c>
      <x:c r="I4" t="str">
        <x:v>Not Started</x:v>
      </x:c>
      <x:c r="J4" t="n">
        <x:f>COUNTIF('Task Register'!J4:J111,I4)</x:f>
        <x:v>105</x:v>
      </x:c>
    </x:row>
    <x:row r="5">
      <x:c r="A5" s="22" t="str">
        <x:v>Target GA</x:v>
      </x:c>
      <x:c r="B5" s="23" t="n">
        <x:v>46860</x:v>
      </x:c>
      <x:c r="D5" t="str">
        <x:v>P1</x:v>
      </x:c>
      <x:c r="E5" t="str">
        <x:v>Not Started</x:v>
      </x:c>
      <x:c r="F5" s="26" t="n">
        <x:v>0</x:v>
      </x:c>
      <x:c r="G5" t="n">
        <x:v>8</x:v>
      </x:c>
      <x:c r="I5" t="str">
        <x:v>In Progress</x:v>
      </x:c>
      <x:c r="J5" t="n">
        <x:f>COUNTIF('Task Register'!J4:J111,I5)</x:f>
        <x:v>0</x:v>
      </x:c>
    </x:row>
    <x:row r="6">
      <x:c r="A6" s="22" t="str">
        <x:v>Total Planned Tasks</x:v>
      </x:c>
      <x:c r="B6" s="22" t="n">
        <x:v>108</x:v>
      </x:c>
      <x:c r="D6" t="str">
        <x:v>P2</x:v>
      </x:c>
      <x:c r="E6" t="str">
        <x:v>Not Started</x:v>
      </x:c>
      <x:c r="F6" s="26" t="n">
        <x:v>0</x:v>
      </x:c>
      <x:c r="G6" t="n">
        <x:v>9</x:v>
      </x:c>
      <x:c r="I6" t="str">
        <x:v>At Risk</x:v>
      </x:c>
      <x:c r="J6" t="n">
        <x:f>COUNTIF('Task Register'!J4:J111,I6)</x:f>
        <x:v>0</x:v>
      </x:c>
    </x:row>
    <x:row r="7">
      <x:c r="A7" s="22" t="str">
        <x:v>Tasks Done</x:v>
      </x:c>
      <x:c r="B7" s="22" t="n">
        <x:f>COUNTIF('Task Register'!J4:J111,"Done")</x:f>
        <x:v>3</x:v>
      </x:c>
      <x:c r="D7" t="str">
        <x:v>P3</x:v>
      </x:c>
      <x:c r="E7" t="str">
        <x:v>Not Started</x:v>
      </x:c>
      <x:c r="F7" s="26" t="n">
        <x:v>0</x:v>
      </x:c>
      <x:c r="G7" t="n">
        <x:v>8</x:v>
      </x:c>
      <x:c r="I7" t="str">
        <x:v>Blocked</x:v>
      </x:c>
      <x:c r="J7" t="n">
        <x:f>COUNTIF('Task Register'!J4:J111,I7)</x:f>
        <x:v>0</x:v>
      </x:c>
    </x:row>
    <x:row r="8">
      <x:c r="A8" s="22" t="str">
        <x:v>Tasks In Progress</x:v>
      </x:c>
      <x:c r="B8" s="22" t="n">
        <x:f>COUNTIF('Task Register'!J4:J111,"In Progress")</x:f>
        <x:v>0</x:v>
      </x:c>
      <x:c r="D8" t="str">
        <x:v>P4</x:v>
      </x:c>
      <x:c r="E8" t="str">
        <x:v>Not Started</x:v>
      </x:c>
      <x:c r="F8" s="26" t="n">
        <x:v>0</x:v>
      </x:c>
      <x:c r="G8" t="n">
        <x:v>8</x:v>
      </x:c>
      <x:c r="I8" t="str">
        <x:v>Done</x:v>
      </x:c>
      <x:c r="J8" t="n">
        <x:f>COUNTIF('Task Register'!J4:J111,I8)</x:f>
        <x:v>3</x:v>
      </x:c>
    </x:row>
    <x:row r="9">
      <x:c r="A9" s="22" t="str">
        <x:v>Tasks At Risk/Blocked</x:v>
      </x:c>
      <x:c r="B9" s="22" t="n">
        <x:f>COUNTIF('Task Register'!J4:J111,"At Risk")+COUNTIF('Task Register'!J4:J111,"Blocked")</x:f>
        <x:v>0</x:v>
      </x:c>
      <x:c r="D9" t="str">
        <x:v>P5</x:v>
      </x:c>
      <x:c r="E9" t="str">
        <x:v>Not Started</x:v>
      </x:c>
      <x:c r="F9" s="26" t="n">
        <x:v>0</x:v>
      </x:c>
      <x:c r="G9" t="n">
        <x:v>9</x:v>
      </x:c>
    </x:row>
    <x:row r="10">
      <x:c r="A10" s="22" t="str">
        <x:v>Overall Completion</x:v>
      </x:c>
      <x:c r="B10" s="28" t="n">
        <x:f>SUM('Task Register'!K4:K111)/108</x:f>
        <x:v>0.027777777777777776</x:v>
      </x:c>
      <x:c r="D10" t="str">
        <x:v>P6</x:v>
      </x:c>
      <x:c r="E10" t="str">
        <x:v>Not Started</x:v>
      </x:c>
      <x:c r="F10" s="26" t="n">
        <x:v>0</x:v>
      </x:c>
      <x:c r="G10" t="n">
        <x:v>10</x:v>
      </x:c>
    </x:row>
    <x:row r="11">
      <x:c r="A11" s="22" t="str">
        <x:v>Open / Mitigating Risks</x:v>
      </x:c>
      <x:c r="B11" s="22" t="n">
        <x:f>COUNTIF(Risks!K4:K23,"Open")+COUNTIF(Risks!K4:K23,"Mitigating")</x:f>
        <x:v>19</x:v>
      </x:c>
      <x:c r="D11" t="str">
        <x:v>P7</x:v>
      </x:c>
      <x:c r="E11" t="str">
        <x:v>Not Started</x:v>
      </x:c>
      <x:c r="F11" s="26" t="n">
        <x:v>0</x:v>
      </x:c>
      <x:c r="G11" t="n">
        <x:v>11</x:v>
      </x:c>
    </x:row>
    <x:row r="12">
      <x:c r="A12" s="22" t="str">
        <x:v>High/Critical Risks (score &gt;=15)</x:v>
      </x:c>
      <x:c r="B12" s="22" t="n">
        <x:f>COUNTIF(Risks!F4:F23,"&gt;=15")</x:f>
        <x:v>6</x:v>
      </x:c>
      <x:c r="D12" t="str">
        <x:v>P8</x:v>
      </x:c>
      <x:c r="E12" t="str">
        <x:v>Not Started</x:v>
      </x:c>
      <x:c r="F12" s="26" t="n">
        <x:v>0</x:v>
      </x:c>
      <x:c r="G12" t="n">
        <x:v>8</x:v>
      </x:c>
    </x:row>
    <x:row r="13">
      <x:c r="A13" s="22" t="str">
        <x:v>Next Major Gate</x:v>
      </x:c>
      <x:c r="B13" s="22" t="str">
        <x:v>Architecture Gate</x:v>
      </x:c>
      <x:c r="D13" t="str">
        <x:v>P9</x:v>
      </x:c>
      <x:c r="E13" t="str">
        <x:v>Not Started</x:v>
      </x:c>
      <x:c r="F13" s="26" t="n">
        <x:v>0</x:v>
      </x:c>
      <x:c r="G13" t="n">
        <x:v>10</x:v>
      </x:c>
    </x:row>
    <x:row r="14">
      <x:c r="D14" t="str">
        <x:v>P10</x:v>
      </x:c>
      <x:c r="E14" t="str">
        <x:v>Not Started</x:v>
      </x:c>
      <x:c r="F14" s="26" t="n">
        <x:v>0</x:v>
      </x:c>
      <x:c r="G14" t="n">
        <x:v>9</x:v>
      </x:c>
    </x:row>
    <x:row r="15">
      <x:c r="A15" s="48" t="str">
        <x:v>Management Notes</x:v>
      </x:c>
      <x:c r="B15" s="48"/>
      <x:c r="D15" t="str">
        <x:v>P11</x:v>
      </x:c>
      <x:c r="E15" t="str">
        <x:v>Not Started</x:v>
      </x:c>
      <x:c r="F15" s="26" t="n">
        <x:v>0</x:v>
      </x:c>
      <x:c r="G15" t="n">
        <x:v>9</x:v>
      </x:c>
    </x:row>
    <x:row r="16">
      <x:c r="A16" s="52" t="str">
        <x:v>Current focus</x:v>
      </x:c>
      <x:c r="B16" s="22" t="str">
        <x:v>Freeze architecture before production schema build</x:v>
      </x:c>
      <x:c r="D16" t="str">
        <x:v>P12</x:v>
      </x:c>
      <x:c r="E16" t="str">
        <x:v>Not Started</x:v>
      </x:c>
      <x:c r="F16" s="26" t="n">
        <x:v>0</x:v>
      </x:c>
      <x:c r="G16" t="n">
        <x:v>7</x:v>
      </x:c>
    </x:row>
    <x:row r="17">
      <x:c r="A17" s="52" t="str">
        <x:v>Cadence</x:v>
      </x:c>
      <x:c r="B17" s="22" t="str">
        <x:v>Two-week sprints; weekly risk review; milestone gate at phase end</x:v>
      </x:c>
    </x:row>
    <x:row r="18">
      <x:c r="A18" s="52" t="str">
        <x:v>Change rule</x:v>
      </x:c>
      <x:c r="B18" s="22" t="str">
        <x:v>No major scope added to active sprint without explicit trade-off</x:v>
      </x:c>
    </x:row>
    <x:row r="19">
      <x:c r="A19" s="52" t="str">
        <x:v>Security rule</x:v>
      </x:c>
      <x:c r="B19" s="22" t="str">
        <x:v>RLS/default-deny and approval/audit requirements are release blockers</x:v>
      </x:c>
    </x:row>
    <x:row r="20">
      <x:c r="A20" s="52" t="str">
        <x:v>Finance rule</x:v>
      </x:c>
      <x:c r="B20" s="22" t="str">
        <x:v>No destructive deletion of financial transactions</x:v>
      </x:c>
    </x:row>
    <x:row r="21">
      <x:c r="A21" s="52" t="str">
        <x:v>AI rule</x:v>
      </x:c>
      <x:c r="B21" s="22" t="str">
        <x:v>AI must use the same permission boundaries as the application</x:v>
      </x:c>
    </x:row>
  </x:sheetData>
  <x:mergeCells>
    <x:mergeCell ref="A1:L1"/>
    <x:mergeCell ref="A15:B15"/>
  </x:mergeCells>
  <x:pageMargins left="0.7" right="0.7" top="0.75" bottom="0.75" header="0.3" footer="0.3"/>
  <x:drawing xmlns:r="http://schemas.openxmlformats.org/officeDocument/2006/relationships" r:id="R8bbeb73c6a854477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3" hidden="0" customWidth="1"/>
    <x:col min="3" max="3" width="28" hidden="0" customWidth="1"/>
    <x:col min="4" max="4" width="23" hidden="0" customWidth="1"/>
    <x:col min="5" max="5" width="38" hidden="0" customWidth="1"/>
    <x:col min="6" max="6" width="48" hidden="0" customWidth="1"/>
  </x:cols>
  <x:sheetData>
    <x:row r="1">
      <x:c r="A1" s="5" t="str">
        <x:v>How to Use This Project Management Workbook</x:v>
      </x:c>
      <x:c r="B1" s="5"/>
      <x:c r="C1" s="5"/>
      <x:c r="D1" s="5"/>
      <x:c r="E1" s="5"/>
      <x:c r="F1" s="5"/>
    </x:row>
    <x:row r="3">
      <x:c r="A3" s="14" t="str">
        <x:v>Sheet</x:v>
      </x:c>
      <x:c r="B3" s="14" t="str">
        <x:v>Purpose</x:v>
      </x:c>
      <x:c r="C3" s="14" t="str">
        <x:v>Update Frequency</x:v>
      </x:c>
      <x:c r="D3" s="14" t="str">
        <x:v>Primary Owner</x:v>
      </x:c>
      <x:c r="E3" s="14" t="str">
        <x:v>What to Edit</x:v>
      </x:c>
      <x:c r="F3" s="14" t="str">
        <x:v>Important Rule</x:v>
      </x:c>
    </x:row>
    <x:row r="4">
      <x:c r="A4" s="22" t="str">
        <x:v>Dashboard</x:v>
      </x:c>
      <x:c r="B4" s="22" t="str">
        <x:v>Executive status, task counts, risks, phase progress</x:v>
      </x:c>
      <x:c r="C4" s="22" t="str">
        <x:v>Weekly</x:v>
      </x:c>
      <x:c r="D4" s="22" t="str">
        <x:v>Product Owner</x:v>
      </x:c>
      <x:c r="E4" s="22" t="str">
        <x:v>Mostly automatic; update task/risk sheets</x:v>
      </x:c>
      <x:c r="F4" s="22" t="str">
        <x:v>Do not manually overwrite KPI formulas</x:v>
      </x:c>
    </x:row>
    <x:row r="5">
      <x:c r="A5" s="22" t="str">
        <x:v>Roadmap</x:v>
      </x:c>
      <x:c r="B5" s="22" t="str">
        <x:v>High-level phases and baseline dates</x:v>
      </x:c>
      <x:c r="C5" s="22" t="str">
        <x:v>At phase planning/change approval</x:v>
      </x:c>
      <x:c r="D5" s="22" t="str">
        <x:v>Product Owner / Lead</x:v>
      </x:c>
      <x:c r="E5" s="22" t="str">
        <x:v>Dates, owner, status, progress</x:v>
      </x:c>
      <x:c r="F5" s="22" t="str">
        <x:v>Change dates only through approved replan</x:v>
      </x:c>
    </x:row>
    <x:row r="6">
      <x:c r="A6" s="22" t="str">
        <x:v>Task Register</x:v>
      </x:c>
      <x:c r="B6" s="22" t="str">
        <x:v>Detailed WBS and delivery tracking</x:v>
      </x:c>
      <x:c r="C6" s="22" t="str">
        <x:v>Daily/weekly</x:v>
      </x:c>
      <x:c r="D6" s="22" t="str">
        <x:v>Lead Engineer</x:v>
      </x:c>
      <x:c r="E6" s="22" t="str">
        <x:v>Status, progress, dates, notes</x:v>
      </x:c>
      <x:c r="F6" s="22" t="str">
        <x:v>Every task needs an acceptance criterion</x:v>
      </x:c>
    </x:row>
    <x:row r="7">
      <x:c r="A7" s="22" t="str">
        <x:v>Gantt</x:v>
      </x:c>
      <x:c r="B7" s="22" t="str">
        <x:v>Monthly visual of roadmap</x:v>
      </x:c>
      <x:c r="C7" s="22" t="str">
        <x:v>At roadmap change</x:v>
      </x:c>
      <x:c r="D7" s="22" t="str">
        <x:v>Product Owner</x:v>
      </x:c>
      <x:c r="E7" s="22" t="str">
        <x:v>Phase dates if deliberately replanned</x:v>
      </x:c>
      <x:c r="F7" s="22" t="str">
        <x:v>Use as presentation view, not the detailed tracker</x:v>
      </x:c>
    </x:row>
    <x:row r="8">
      <x:c r="A8" s="22" t="str">
        <x:v>Sprints</x:v>
      </x:c>
      <x:c r="B8" s="22" t="str">
        <x:v>Two-week sprint calendar</x:v>
      </x:c>
      <x:c r="C8" s="22" t="str">
        <x:v>Every sprint</x:v>
      </x:c>
      <x:c r="D8" s="22" t="str">
        <x:v>Lead Engineer</x:v>
      </x:c>
      <x:c r="E8" s="22" t="str">
        <x:v>Focus, status, notes</x:v>
      </x:c>
      <x:c r="F8" s="22" t="str">
        <x:v>Do not overload sprint with deferred modules</x:v>
      </x:c>
    </x:row>
    <x:row r="9">
      <x:c r="A9" s="22" t="str">
        <x:v>Milestones</x:v>
      </x:c>
      <x:c r="B9" s="22" t="str">
        <x:v>Release and architecture gates</x:v>
      </x:c>
      <x:c r="C9" s="22" t="str">
        <x:v>At gate review</x:v>
      </x:c>
      <x:c r="D9" s="22" t="str">
        <x:v>Product Owner</x:v>
      </x:c>
      <x:c r="E9" s="22" t="str">
        <x:v>Status and evidence</x:v>
      </x:c>
      <x:c r="F9" s="22" t="str">
        <x:v>No gate passes without evidence</x:v>
      </x:c>
    </x:row>
    <x:row r="10">
      <x:c r="A10" s="22" t="str">
        <x:v>Release Plan</x:v>
      </x:c>
      <x:c r="B10" s="22" t="str">
        <x:v>Alpha/beta/RC/GA scope</x:v>
      </x:c>
      <x:c r="C10" s="22" t="str">
        <x:v>Before each release</x:v>
      </x:c>
      <x:c r="D10" s="22" t="str">
        <x:v>Product Owner</x:v>
      </x:c>
      <x:c r="E10" s="22" t="str">
        <x:v>Scope and criteria</x:v>
      </x:c>
      <x:c r="F10" s="22" t="str">
        <x:v>Excluded scope stays excluded unless change approved</x:v>
      </x:c>
    </x:row>
    <x:row r="11">
      <x:c r="A11" s="22" t="str">
        <x:v>Module Scope</x:v>
      </x:c>
      <x:c r="B11" s="22" t="str">
        <x:v>Module priorities and release mapping</x:v>
      </x:c>
      <x:c r="C11" s="22" t="str">
        <x:v>Monthly</x:v>
      </x:c>
      <x:c r="D11" s="22" t="str">
        <x:v>Product Owner</x:v>
      </x:c>
      <x:c r="E11" s="22" t="str">
        <x:v>Priority/release/decision</x:v>
      </x:c>
      <x:c r="F11" s="22" t="str">
        <x:v>Prevents scope creep</x:v>
      </x:c>
    </x:row>
    <x:row r="12">
      <x:c r="A12" s="22" t="str">
        <x:v>Risks</x:v>
      </x:c>
      <x:c r="B12" s="22" t="str">
        <x:v>Risk register and mitigation</x:v>
      </x:c>
      <x:c r="C12" s="22" t="str">
        <x:v>Weekly</x:v>
      </x:c>
      <x:c r="D12" s="22" t="str">
        <x:v>Product Owner / Lead</x:v>
      </x:c>
      <x:c r="E12" s="22" t="str">
        <x:v>Probability, impact, mitigation, status</x:v>
      </x:c>
      <x:c r="F12" s="22" t="str">
        <x:v>Escalate score &gt;=15</x:v>
      </x:c>
    </x:row>
    <x:row r="13">
      <x:c r="A13" s="22" t="str">
        <x:v>RACI</x:v>
      </x:c>
      <x:c r="B13" s="22" t="str">
        <x:v>Responsibility matrix</x:v>
      </x:c>
      <x:c r="C13" s="22" t="str">
        <x:v>When team changes</x:v>
      </x:c>
      <x:c r="D13" s="22" t="str">
        <x:v>Product Owner</x:v>
      </x:c>
      <x:c r="E13" s="22" t="str">
        <x:v>Responsibility cells</x:v>
      </x:c>
      <x:c r="F13" s="22" t="str">
        <x:v>Keep accountability clear</x:v>
      </x:c>
    </x:row>
    <x:row r="14">
      <x:c r="A14" s="22" t="str">
        <x:v>QA &amp; Gates</x:v>
      </x:c>
      <x:c r="B14" s="22" t="str">
        <x:v>Quality criteria and release blockers</x:v>
      </x:c>
      <x:c r="C14" s="22" t="str">
        <x:v>Per sprint/release</x:v>
      </x:c>
      <x:c r="D14" s="22" t="str">
        <x:v>QA / Lead</x:v>
      </x:c>
      <x:c r="E14" s="22" t="str">
        <x:v>Status/evidence/notes</x:v>
      </x:c>
      <x:c r="F14" s="22" t="str">
        <x:v>Blocking tests must pass</x:v>
      </x:c>
    </x:row>
    <x:row r="15">
      <x:c r="A15" s="22" t="str">
        <x:v>Change Log</x:v>
      </x:c>
      <x:c r="B15" s="22" t="str">
        <x:v>Architecture and scope decisions</x:v>
      </x:c>
      <x:c r="C15" s="22" t="str">
        <x:v>As decisions occur</x:v>
      </x:c>
      <x:c r="D15" s="22" t="str">
        <x:v>Product Owner</x:v>
      </x:c>
      <x:c r="E15" s="22" t="str">
        <x:v>Add new row</x:v>
      </x:c>
      <x:c r="F15" s="22" t="str">
        <x:v>Never silently overwrite major decisions</x:v>
      </x:c>
    </x:row>
    <x:row r="16">
      <x:c r="A16" s="22" t="str">
        <x:v>Assumptions</x:v>
      </x:c>
      <x:c r="B16" s="22" t="str">
        <x:v>Planning assumptions behind dates</x:v>
      </x:c>
      <x:c r="C16" s="22" t="str">
        <x:v>When assumptions change</x:v>
      </x:c>
      <x:c r="D16" s="22" t="str">
        <x:v>Product Owner</x:v>
      </x:c>
      <x:c r="E16" s="22" t="str">
        <x:v>Baseline assumptions</x:v>
      </x:c>
      <x:c r="F16" s="22" t="str">
        <x:v>Re-estimate when capacity/scope changes</x:v>
      </x:c>
    </x:row>
  </x:sheetData>
  <x:mergeCells>
    <x:mergeCell ref="A1: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6" hidden="0" customWidth="1"/>
    <x:col min="3" max="3" width="18" hidden="0" customWidth="1"/>
    <x:col min="4" max="4" width="14" hidden="0" customWidth="1"/>
    <x:col min="5" max="5" width="14" hidden="0" customWidth="1"/>
    <x:col min="6" max="6" width="55" hidden="0" customWidth="1"/>
    <x:col min="7" max="7" width="48" hidden="0" customWidth="1"/>
    <x:col min="8" max="8" width="36" hidden="0" customWidth="1"/>
    <x:col min="9" max="9" width="18" hidden="0" customWidth="1"/>
    <x:col min="10" max="10" width="48" hidden="0" customWidth="1"/>
  </x:cols>
  <x:sheetData>
    <x:row r="1">
      <x:c r="A1" s="57" t="str">
        <x:v>School OS SaaS - Future / Advanced Feature Roadmap</x:v>
      </x:c>
      <x:c r="B1" s="57"/>
      <x:c r="C1" s="57"/>
      <x:c r="D1" s="57"/>
      <x:c r="E1" s="57"/>
      <x:c r="F1" s="57"/>
      <x:c r="G1" s="57"/>
      <x:c r="H1" s="57"/>
      <x:c r="I1" s="57"/>
      <x:c r="J1" s="57"/>
    </x:row>
    <x:row r="3">
      <x:c r="A3" s="62" t="str">
        <x:v>ID</x:v>
      </x:c>
      <x:c r="B3" s="62" t="str">
        <x:v>Future Feature</x:v>
      </x:c>
      <x:c r="C3" s="62" t="str">
        <x:v>Domain</x:v>
      </x:c>
      <x:c r="D3" s="62" t="str">
        <x:v>Priority Later</x:v>
      </x:c>
      <x:c r="E3" s="62" t="str">
        <x:v>Current Status</x:v>
      </x:c>
      <x:c r="F3" s="62" t="str">
        <x:v>Architecture Requirement Now</x:v>
      </x:c>
      <x:c r="G3" s="62" t="str">
        <x:v>Likely Integration Pattern</x:v>
      </x:c>
      <x:c r="H3" s="62" t="str">
        <x:v>Dependencies</x:v>
      </x:c>
      <x:c r="I3" s="62" t="str">
        <x:v>Risk / Complexity</x:v>
      </x:c>
      <x:c r="J3" s="62" t="str">
        <x:v>Notes</x:v>
      </x:c>
    </x:row>
    <x:row r="4">
      <x:c r="A4" s="22" t="str">
        <x:v>F-001</x:v>
      </x:c>
      <x:c r="B4" s="22" t="str">
        <x:v>Fingerprint / biometric attendance devices</x:v>
      </x:c>
      <x:c r="C4" s="22" t="str">
        <x:v>Attendance</x:v>
      </x:c>
      <x:c r="D4" s="22" t="str">
        <x:v>High</x:v>
      </x:c>
      <x:c r="E4" s="22" t="str">
        <x:v>Deferred</x:v>
      </x:c>
      <x:c r="F4" s="22" t="str">
        <x:v>Attendance core must be capture-method independent; preserve device/event IDs and source metadata</x:v>
      </x:c>
      <x:c r="G4" s="22" t="str">
        <x:v>Device adapter -&gt; validated attendance event -&gt; attendance service</x:v>
      </x:c>
      <x:c r="H4" s="22" t="str">
        <x:v>Attendance, device registry, identity mapping, sync</x:v>
      </x:c>
      <x:c r="I4" s="22" t="str">
        <x:v>High</x:v>
      </x:c>
      <x:c r="J4" s="22" t="str">
        <x:v>Vendor SDK/protocol differences; privacy and biometric governance required</x:v>
      </x:c>
    </x:row>
    <x:row r="5">
      <x:c r="A5" s="22" t="str">
        <x:v>F-002</x:v>
      </x:c>
      <x:c r="B5" s="22" t="str">
        <x:v>Camera / face-recognition attendance</x:v>
      </x:c>
      <x:c r="C5" s="22" t="str">
        <x:v>Attendance</x:v>
      </x:c>
      <x:c r="D5" s="22" t="str">
        <x:v>High</x:v>
      </x:c>
      <x:c r="E5" s="22" t="str">
        <x:v>Deferred</x:v>
      </x:c>
      <x:c r="F5" s="22" t="str">
        <x:v>Do not couple attendance table to QR/manual; allow camera-generated recognition events and confidence metadata</x:v>
      </x:c>
      <x:c r="G5" s="22" t="str">
        <x:v>Camera/vision service -&gt; recognition event -&gt; human/rule validation -&gt; attendance service</x:v>
      </x:c>
      <x:c r="H5" s="22" t="str">
        <x:v>Attendance, device registry, media/AI service, identity mapping</x:v>
      </x:c>
      <x:c r="I5" s="22" t="str">
        <x:v>Very High</x:v>
      </x:c>
      <x:c r="J5" s="22" t="str">
        <x:v>Requires privacy, consent/legal review, anti-spoofing, model accuracy and hardware planning</x:v>
      </x:c>
    </x:row>
    <x:row r="6">
      <x:c r="A6" s="22" t="str">
        <x:v>F-003</x:v>
      </x:c>
      <x:c r="B6" s="22" t="str">
        <x:v>RFID / NFC attendance</x:v>
      </x:c>
      <x:c r="C6" s="22" t="str">
        <x:v>Attendance</x:v>
      </x:c>
      <x:c r="D6" s="22" t="str">
        <x:v>Medium</x:v>
      </x:c>
      <x:c r="E6" s="22" t="str">
        <x:v>Deferred</x:v>
      </x:c>
      <x:c r="F6" s="22" t="str">
        <x:v>Student identifiers/cards should support external token mapping</x:v>
      </x:c>
      <x:c r="G6" s="22" t="str">
        <x:v>Reader adapter -&gt; token event -&gt; identity resolution -&gt; attendance service</x:v>
      </x:c>
      <x:c r="H6" s="22" t="str">
        <x:v>Student cards, device registry, attendance</x:v>
      </x:c>
      <x:c r="I6" s="22" t="str">
        <x:v>Medium</x:v>
      </x:c>
      <x:c r="J6" s="22" t="str">
        <x:v>Reader hardware and card lifecycle</x:v>
      </x:c>
    </x:row>
    <x:row r="7">
      <x:c r="A7" s="22" t="str">
        <x:v>F-004</x:v>
      </x:c>
      <x:c r="B7" s="22" t="str">
        <x:v>Advanced QR anti-fraud</x:v>
      </x:c>
      <x:c r="C7" s="22" t="str">
        <x:v>Attendance</x:v>
      </x:c>
      <x:c r="D7" s="22" t="str">
        <x:v>Medium</x:v>
      </x:c>
      <x:c r="E7" s="22" t="str">
        <x:v>Deferred</x:v>
      </x:c>
      <x:c r="F7" s="22" t="str">
        <x:v>QR token strategy should allow rotation/versioning and optional confirmation</x:v>
      </x:c>
      <x:c r="G7" s="22" t="str">
        <x:v>Scanner -&gt; signed/rotating token validation -&gt; attendance</x:v>
      </x:c>
      <x:c r="H7" s="22" t="str">
        <x:v>QR attendance, student cards</x:v>
      </x:c>
      <x:c r="I7" s="22" t="str">
        <x:v>Medium</x:v>
      </x:c>
      <x:c r="J7" s="22" t="str">
        <x:v>May add photo/device confirmation</x:v>
      </x:c>
    </x:row>
    <x:row r="8">
      <x:c r="A8" s="22" t="str">
        <x:v>F-005</x:v>
      </x:c>
      <x:c r="B8" s="22" t="str">
        <x:v>Live bus GPS tracking</x:v>
      </x:c>
      <x:c r="C8" s="22" t="str">
        <x:v>Transport</x:v>
      </x:c>
      <x:c r="D8" s="22" t="str">
        <x:v>Medium</x:v>
      </x:c>
      <x:c r="E8" s="22" t="str">
        <x:v>Deferred</x:v>
      </x:c>
      <x:c r="F8" s="22" t="str">
        <x:v>Transport model should use stable vehicle/route/student assignments independent of tracking provider</x:v>
      </x:c>
      <x:c r="G8" s="22" t="str">
        <x:v>GPS provider adapter -&gt; telemetry stream -&gt; transport tracking service</x:v>
      </x:c>
      <x:c r="H8" s="22" t="str">
        <x:v>Vehicles, routes, parent notifications</x:v>
      </x:c>
      <x:c r="I8" s="22" t="str">
        <x:v>High</x:v>
      </x:c>
      <x:c r="J8" s="22" t="str">
        <x:v>Realtime location cost, privacy, provider variance</x:v>
      </x:c>
    </x:row>
    <x:row r="9">
      <x:c r="A9" s="22" t="str">
        <x:v>F-006</x:v>
      </x:c>
      <x:c r="B9" s="22" t="str">
        <x:v>WhatsApp messaging</x:v>
      </x:c>
      <x:c r="C9" s="22" t="str">
        <x:v>Notifications</x:v>
      </x:c>
      <x:c r="D9" s="22" t="str">
        <x:v>Medium</x:v>
      </x:c>
      <x:c r="E9" s="22" t="str">
        <x:v>Deferred</x:v>
      </x:c>
      <x:c r="F9" s="22" t="str">
        <x:v>Notification engine must use provider/channel adapters</x:v>
      </x:c>
      <x:c r="G9" s="22" t="str">
        <x:v>Notification event -&gt; WhatsApp provider adapter</x:v>
      </x:c>
      <x:c r="H9" s="22" t="str">
        <x:v>Notifications, templates, consent</x:v>
      </x:c>
      <x:c r="I9" s="22" t="str">
        <x:v>Medium</x:v>
      </x:c>
      <x:c r="J9" s="22" t="str">
        <x:v>Provider pricing, template approval, opt-in</x:v>
      </x:c>
    </x:row>
    <x:row r="10">
      <x:c r="A10" s="22" t="str">
        <x:v>F-007</x:v>
      </x:c>
      <x:c r="B10" s="22" t="str">
        <x:v>Direct payment gateway</x:v>
      </x:c>
      <x:c r="C10" s="22" t="str">
        <x:v>Finance</x:v>
      </x:c>
      <x:c r="D10" s="22" t="str">
        <x:v>High</x:v>
      </x:c>
      <x:c r="E10" s="22" t="str">
        <x:v>Deferred</x:v>
      </x:c>
      <x:c r="F10" s="22" t="str">
        <x:v>Payment ledger must support externally confirmed payments without changing financial core</x:v>
      </x:c>
      <x:c r="G10" s="22" t="str">
        <x:v>Gateway webhook -&gt; payment verification -&gt; ledger/receipt</x:v>
      </x:c>
      <x:c r="H10" s="22" t="str">
        <x:v>Payments, finance, webhook security</x:v>
      </x:c>
      <x:c r="I10" s="22" t="str">
        <x:v>High</x:v>
      </x:c>
      <x:c r="J10" s="22" t="str">
        <x:v>Idempotency, refunds, reconciliation</x:v>
      </x:c>
    </x:row>
    <x:row r="11">
      <x:c r="A11" s="22" t="str">
        <x:v>F-008</x:v>
      </x:c>
      <x:c r="B11" s="22" t="str">
        <x:v>Inventory / asset management</x:v>
      </x:c>
      <x:c r="C11" s="22" t="str">
        <x:v>Operations</x:v>
      </x:c>
      <x:c r="D11" s="22" t="str">
        <x:v>Medium</x:v>
      </x:c>
      <x:c r="E11" s="22" t="str">
        <x:v>Deferred</x:v>
      </x:c>
      <x:c r="F11" s="22" t="str">
        <x:v>No dependency required in student core; keep module boundaries clean</x:v>
      </x:c>
      <x:c r="G11" s="22" t="str">
        <x:v>Optional module</x:v>
      </x:c>
      <x:c r="H11" s="22" t="str">
        <x:v>Procurement/HR/rooms</x:v>
      </x:c>
      <x:c r="I11" s="22" t="str">
        <x:v>Medium</x:v>
      </x:c>
      <x:c r="J11" s="22" t="str">
        <x:v>Large independent domain</x:v>
      </x:c>
    </x:row>
    <x:row r="12">
      <x:c r="A12" s="22" t="str">
        <x:v>F-009</x:v>
      </x:c>
      <x:c r="B12" s="22" t="str">
        <x:v>IoT / smart classroom integration</x:v>
      </x:c>
      <x:c r="C12" s="22" t="str">
        <x:v>Platform</x:v>
      </x:c>
      <x:c r="D12" s="22" t="str">
        <x:v>Low</x:v>
      </x:c>
      <x:c r="E12" s="22" t="str">
        <x:v>Deferred</x:v>
      </x:c>
      <x:c r="F12" s="22" t="str">
        <x:v>Use device registry + event adapter concepts rather than embedding vendor fields</x:v>
      </x:c>
      <x:c r="G12" s="22" t="str">
        <x:v>Device gateway -&gt; event bus/service</x:v>
      </x:c>
      <x:c r="H12" s="22" t="str">
        <x:v>Rooms, timetable, automation</x:v>
      </x:c>
      <x:c r="I12" s="22" t="str">
        <x:v>Very High</x:v>
      </x:c>
      <x:c r="J12" s="22" t="str">
        <x:v>Vendor fragmentation</x:v>
      </x:c>
    </x:row>
    <x:row r="13">
      <x:c r="A13" s="22" t="str">
        <x:v>F-010</x:v>
      </x:c>
      <x:c r="B13" s="22" t="str">
        <x:v>CCTV integrations</x:v>
      </x:c>
      <x:c r="C13" s="22" t="str">
        <x:v>Security</x:v>
      </x:c>
      <x:c r="D13" s="22" t="str">
        <x:v>Low</x:v>
      </x:c>
      <x:c r="E13" s="22" t="str">
        <x:v>Deferred</x:v>
      </x:c>
      <x:c r="F13" s="22" t="str">
        <x:v>Keep out of core operational schema; integrate by references/events only</x:v>
      </x:c>
      <x:c r="G13" s="22" t="str">
        <x:v>External surveillance integration</x:v>
      </x:c>
      <x:c r="H13" s="22" t="str">
        <x:v>Security policies</x:v>
      </x:c>
      <x:c r="I13" s="22" t="str">
        <x:v>Very High</x:v>
      </x:c>
      <x:c r="J13" s="22" t="str">
        <x:v>Privacy/security/legal implications</x:v>
      </x:c>
    </x:row>
    <x:row r="14">
      <x:c r="A14" s="22" t="str">
        <x:v>F-011</x:v>
      </x:c>
      <x:c r="B14" s="22" t="str">
        <x:v>Government reporting integrations</x:v>
      </x:c>
      <x:c r="C14" s="22" t="str">
        <x:v>Reporting</x:v>
      </x:c>
      <x:c r="D14" s="22" t="str">
        <x:v>Medium</x:v>
      </x:c>
      <x:c r="E14" s="22" t="str">
        <x:v>Deferred</x:v>
      </x:c>
      <x:c r="F14" s="22" t="str">
        <x:v>Reporting layer should expose stable canonical data views</x:v>
      </x:c>
      <x:c r="G14" s="22" t="str">
        <x:v>Export/API adapters</x:v>
      </x:c>
      <x:c r="H14" s="22" t="str">
        <x:v>Student, academic, finance depending jurisdiction</x:v>
      </x:c>
      <x:c r="I14" s="22" t="str">
        <x:v>High</x:v>
      </x:c>
      <x:c r="J14" s="22" t="str">
        <x:v>Jurisdiction-specific schemas</x:v>
      </x:c>
    </x:row>
    <x:row r="15">
      <x:c r="A15" s="22" t="str">
        <x:v>F-012</x:v>
      </x:c>
      <x:c r="B15" s="22" t="str">
        <x:v>External accounting integrations</x:v>
      </x:c>
      <x:c r="C15" s="22" t="str">
        <x:v>Finance</x:v>
      </x:c>
      <x:c r="D15" s="22" t="str">
        <x:v>Medium</x:v>
      </x:c>
      <x:c r="E15" s="22" t="str">
        <x:v>Deferred</x:v>
      </x:c>
      <x:c r="F15" s="22" t="str">
        <x:v>Finance records should expose stable transaction identifiers and export views</x:v>
      </x:c>
      <x:c r="G15" s="22" t="str">
        <x:v>Accounting connector/export adapter</x:v>
      </x:c>
      <x:c r="H15" s="22" t="str">
        <x:v>Finance ledger</x:v>
      </x:c>
      <x:c r="I15" s="22" t="str">
        <x:v>High</x:v>
      </x:c>
      <x:c r="J15" s="22" t="str">
        <x:v>Reconciliation and mapping</x:v>
      </x:c>
    </x:row>
    <x:row r="16">
      <x:c r="A16" s="22" t="str">
        <x:v>F-013</x:v>
      </x:c>
      <x:c r="B16" s="22" t="str">
        <x:v>Additional languages / RTL</x:v>
      </x:c>
      <x:c r="C16" s="22" t="str">
        <x:v>UX</x:v>
      </x:c>
      <x:c r="D16" s="22" t="str">
        <x:v>Medium</x:v>
      </x:c>
      <x:c r="E16" s="22" t="str">
        <x:v>Deferred</x:v>
      </x:c>
      <x:c r="F16" s="22" t="str">
        <x:v>No hard-coded display text in data model; localization-ready UI</x:v>
      </x:c>
      <x:c r="G16" s="22" t="str">
        <x:v>Localization layer</x:v>
      </x:c>
      <x:c r="H16" s="22" t="str">
        <x:v>Flutter UI</x:v>
      </x:c>
      <x:c r="I16" s="22" t="str">
        <x:v>Medium</x:v>
      </x:c>
      <x:c r="J16" s="22" t="str">
        <x:v>Arabic/Urdu RTL</x:v>
      </x:c>
    </x:row>
    <x:row r="17">
      <x:c r="A17" s="22" t="str">
        <x:v>F-014</x:v>
      </x:c>
      <x:c r="B17" s="22" t="str">
        <x:v>Voice assistant</x:v>
      </x:c>
      <x:c r="C17" s="22" t="str">
        <x:v>AI</x:v>
      </x:c>
      <x:c r="D17" s="22" t="str">
        <x:v>Low</x:v>
      </x:c>
      <x:c r="E17" s="22" t="str">
        <x:v>Deferred</x:v>
      </x:c>
      <x:c r="F17" s="22" t="str">
        <x:v>AI engine should expose service APIs independent of text UI</x:v>
      </x:c>
      <x:c r="G17" s="22" t="str">
        <x:v>Voice UI -&gt; AI service</x:v>
      </x:c>
      <x:c r="H17" s="22" t="str">
        <x:v>AI permissions, speech provider</x:v>
      </x:c>
      <x:c r="I17" s="22" t="str">
        <x:v>Medium</x:v>
      </x:c>
      <x:c r="J17" s="22" t="str">
        <x:v>Speech privacy/cost</x:v>
      </x:c>
    </x:row>
    <x:row r="18">
      <x:c r="A18" s="22" t="str">
        <x:v>F-015</x:v>
      </x:c>
      <x:c r="B18" s="22" t="str">
        <x:v>Advanced predictive analytics / early-warning</x:v>
      </x:c>
      <x:c r="C18" s="22" t="str">
        <x:v>AI/Analytics</x:v>
      </x:c>
      <x:c r="D18" s="22" t="str">
        <x:v>High</x:v>
      </x:c>
      <x:c r="E18" s="22" t="str">
        <x:v>Deferred</x:v>
      </x:c>
      <x:c r="F18" s="22" t="str">
        <x:v>Preserve high-quality historical attendance/results/assignment data</x:v>
      </x:c>
      <x:c r="G18" s="22" t="str">
        <x:v>Analytics feature store / model service</x:v>
      </x:c>
      <x:c r="H18" s="22" t="str">
        <x:v>Attendance, results, assignments</x:v>
      </x:c>
      <x:c r="I18" s="22" t="str">
        <x:v>High</x:v>
      </x:c>
      <x:c r="J18" s="22" t="str">
        <x:v>Bias, explainability, model governance</x:v>
      </x:c>
    </x:row>
    <x:row r="19">
      <x:c r="A19" s="22" t="str">
        <x:v>F-016</x:v>
      </x:c>
      <x:c r="B19" s="22" t="str">
        <x:v>Digital certificate verification / blockchain</x:v>
      </x:c>
      <x:c r="C19" s="22" t="str">
        <x:v>Documents</x:v>
      </x:c>
      <x:c r="D19" s="22" t="str">
        <x:v>Low</x:v>
      </x:c>
      <x:c r="E19" s="22" t="str">
        <x:v>Deferred</x:v>
      </x:c>
      <x:c r="F19" s="22" t="str">
        <x:v>Generated certificate IDs and verification metadata should be stable</x:v>
      </x:c>
      <x:c r="G19" s="22" t="str">
        <x:v>Verification service</x:v>
      </x:c>
      <x:c r="H19" s="22" t="str">
        <x:v>Certificates, documents</x:v>
      </x:c>
      <x:c r="I19" s="22" t="str">
        <x:v>Medium</x:v>
      </x:c>
      <x:c r="J19" s="22" t="str">
        <x:v>Blockchain may not be necessary; keep provider-neutral</x:v>
      </x:c>
    </x:row>
  </x:sheetData>
  <x:mergeCells>
    <x:mergeCell ref="A1:J1"/>
  </x:mergeCells>
  <x:dataValidations count="2">
    <x:dataValidation type="list" sqref="D4:D19">
      <x:formula1>"High,Medium,Low"</x:formula1>
    </x:dataValidation>
    <x:dataValidation type="list" sqref="E4:E19">
      <x:formula1>"Deferred,Research,Planned,In Progress,Done"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4d1e46d3eb46ff"/>
  </x:tableParts>
</x:worksheet>
</file>