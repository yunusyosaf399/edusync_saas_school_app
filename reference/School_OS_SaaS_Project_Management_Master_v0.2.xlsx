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nus\StudioProjects\saas_OS_school_app\reference\"/>
    </mc:Choice>
  </mc:AlternateContent>
  <xr:revisionPtr revIDLastSave="0" documentId="13_ncr:1_{02FDD118-08FC-401A-935A-49CB8498BC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sumptions" sheetId="1" r:id="rId1"/>
    <sheet name="Roadmap" sheetId="2" r:id="rId2"/>
    <sheet name="Task Register" sheetId="3" r:id="rId3"/>
    <sheet name="Milestones" sheetId="4" r:id="rId4"/>
    <sheet name="Sprints" sheetId="5" r:id="rId5"/>
    <sheet name="Release Plan" sheetId="6" r:id="rId6"/>
    <sheet name="Module Scope" sheetId="7" r:id="rId7"/>
    <sheet name="Risks" sheetId="8" r:id="rId8"/>
    <sheet name="RACI" sheetId="9" r:id="rId9"/>
    <sheet name="QA &amp; Gates" sheetId="10" r:id="rId10"/>
    <sheet name="Change Log" sheetId="11" r:id="rId11"/>
    <sheet name="Gantt" sheetId="12" r:id="rId12"/>
    <sheet name="Dashboard" sheetId="13" r:id="rId13"/>
    <sheet name="README" sheetId="14" r:id="rId14"/>
    <sheet name="Future Roadmap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3" l="1"/>
  <c r="B11" i="13"/>
  <c r="B10" i="13"/>
  <c r="B9" i="13"/>
  <c r="J8" i="13"/>
  <c r="B8" i="13"/>
  <c r="J7" i="13"/>
  <c r="B7" i="13"/>
  <c r="J6" i="13"/>
  <c r="J5" i="13"/>
  <c r="J4" i="13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</calcChain>
</file>

<file path=xl/sharedStrings.xml><?xml version="1.0" encoding="utf-8"?>
<sst xmlns="http://schemas.openxmlformats.org/spreadsheetml/2006/main" count="2809" uniqueCount="1317">
  <si>
    <t>School OS SaaS - Planning Assumptions</t>
  </si>
  <si>
    <t>Parameter</t>
  </si>
  <si>
    <t>Baseline</t>
  </si>
  <si>
    <t>Editable?</t>
  </si>
  <si>
    <t>Planning Impact</t>
  </si>
  <si>
    <t>Decision Status</t>
  </si>
  <si>
    <t>Notes</t>
  </si>
  <si>
    <t>Project start</t>
  </si>
  <si>
    <t>Yes</t>
  </si>
  <si>
    <t>Drives all baseline dates</t>
  </si>
  <si>
    <t>Start after requirements baseline</t>
  </si>
  <si>
    <t>Target GA</t>
  </si>
  <si>
    <t>Full production release target</t>
  </si>
  <si>
    <t>Adjust after architecture estimation</t>
  </si>
  <si>
    <t>Delivery model</t>
  </si>
  <si>
    <t>Two-week sprints</t>
  </si>
  <si>
    <t>Sprint planning and release cadence</t>
  </si>
  <si>
    <t>Confirmed</t>
  </si>
  <si>
    <t>Use milestone gates between major phases</t>
  </si>
  <si>
    <t>Primary client</t>
  </si>
  <si>
    <t>Flutter Windows (.exe)</t>
  </si>
  <si>
    <t>Desktop-first delivery</t>
  </si>
  <si>
    <t>Architecture should keep future clients possible</t>
  </si>
  <si>
    <t>Backend</t>
  </si>
  <si>
    <t>Supabase / PostgreSQL</t>
  </si>
  <si>
    <t>No</t>
  </si>
  <si>
    <t>Database, Auth, Storage, RLS, Edge Functions</t>
  </si>
  <si>
    <t>One Supabase project per customer school</t>
  </si>
  <si>
    <t>SaaS deployment</t>
  </si>
  <si>
    <t>One school = one Supabase project</t>
  </si>
  <si>
    <t>Strong tenant isolation</t>
  </si>
  <si>
    <t>Shared SaaS control plane</t>
  </si>
  <si>
    <t>Team assumption</t>
  </si>
  <si>
    <t>1 lead engineer + part-time QA/design/SME</t>
  </si>
  <si>
    <t>Dates assume lean delivery capacity</t>
  </si>
  <si>
    <t>Planning assumption</t>
  </si>
  <si>
    <t>Add people to compress schedule</t>
  </si>
  <si>
    <t>Methodology</t>
  </si>
  <si>
    <t>Agile + architecture gates</t>
  </si>
  <si>
    <t>Iterative delivery with controlled schema design</t>
  </si>
  <si>
    <t>Avoid rushing irreversible database decisions</t>
  </si>
  <si>
    <t>Languages</t>
  </si>
  <si>
    <t>English initially</t>
  </si>
  <si>
    <t>Simplifies V1 UI</t>
  </si>
  <si>
    <t>Keep localization-ready</t>
  </si>
  <si>
    <t>Deferred</t>
  </si>
  <si>
    <t>GPS, biometrics, camera/face recognition, RFID/NFC, inventory, WhatsApp, payment gateway</t>
  </si>
  <si>
    <t>Keeps core release achievable</t>
  </si>
  <si>
    <t>Architecture should not block later additions</t>
  </si>
  <si>
    <t>School OS SaaS - Product Roadmap</t>
  </si>
  <si>
    <t>Phase</t>
  </si>
  <si>
    <t>Name</t>
  </si>
  <si>
    <t>Start</t>
  </si>
  <si>
    <t>End</t>
  </si>
  <si>
    <t>Weeks</t>
  </si>
  <si>
    <t>Primary Outcome</t>
  </si>
  <si>
    <t>Release Gate</t>
  </si>
  <si>
    <t>Owner</t>
  </si>
  <si>
    <t>Status</t>
  </si>
  <si>
    <t>Progress %</t>
  </si>
  <si>
    <t>Dependencies</t>
  </si>
  <si>
    <t>P0</t>
  </si>
  <si>
    <t>Discovery &amp; Project Setup</t>
  </si>
  <si>
    <t>Freeze requirements baseline, PM system, repository and standards</t>
  </si>
  <si>
    <t>Requirements Baseline</t>
  </si>
  <si>
    <t>Product Owner / Lead</t>
  </si>
  <si>
    <t>In Progress</t>
  </si>
  <si>
    <t>-</t>
  </si>
  <si>
    <t>Master requirements complete; PM package created</t>
  </si>
  <si>
    <t>P1</t>
  </si>
  <si>
    <t>Architecture &amp; SaaS Foundation</t>
  </si>
  <si>
    <t>Control plane design, school project template, environments, DB conventions</t>
  </si>
  <si>
    <t>Architecture Gate</t>
  </si>
  <si>
    <t>Lead Engineer</t>
  </si>
  <si>
    <t>Not Started</t>
  </si>
  <si>
    <t>Do not build business modules before security and migration strategy</t>
  </si>
  <si>
    <t>P2</t>
  </si>
  <si>
    <t>Identity, RBAC &amp; Academic Foundation</t>
  </si>
  <si>
    <t>Auth/account mapping, people, roles, scopes, campuses, academic years, class structure</t>
  </si>
  <si>
    <t>Foundation Alpha</t>
  </si>
  <si>
    <t>Foundation used by every later module</t>
  </si>
  <si>
    <t>P3</t>
  </si>
  <si>
    <t>Students, Families &amp; Admissions</t>
  </si>
  <si>
    <t>Student lifecycle, family accounts, admission workflow, enrollment history, promotion</t>
  </si>
  <si>
    <t>Student Core Alpha</t>
  </si>
  <si>
    <t>Historical data model must be stable</t>
  </si>
  <si>
    <t>P4</t>
  </si>
  <si>
    <t>Curriculum, Teachers &amp; Timetable</t>
  </si>
  <si>
    <t>Subjects, curriculum, teacher assignment and timetable generation</t>
  </si>
  <si>
    <t>Academic Alpha</t>
  </si>
  <si>
    <t>P2,P3</t>
  </si>
  <si>
    <t>Overlaps student work after stable entities exist</t>
  </si>
  <si>
    <t>P5</t>
  </si>
  <si>
    <t>Attendance, Homework &amp; Notifications Core</t>
  </si>
  <si>
    <t>Morning/break attendance, QR/manual flow, corrections, assignments and base notifications</t>
  </si>
  <si>
    <t>Operations Alpha</t>
  </si>
  <si>
    <t>P3,P4</t>
  </si>
  <si>
    <t>Includes offline-ready attendance contracts</t>
  </si>
  <si>
    <t>P6</t>
  </si>
  <si>
    <t>Exams, Marks &amp; Results</t>
  </si>
  <si>
    <t>Assessment engine, grading, result approvals, locking and report cards</t>
  </si>
  <si>
    <t>Academic Pilot</t>
  </si>
  <si>
    <t>P4,P5</t>
  </si>
  <si>
    <t>Exam Controller publication gate</t>
  </si>
  <si>
    <t>P7</t>
  </si>
  <si>
    <t>Fees, Payments &amp; Finance</t>
  </si>
  <si>
    <t>Fee structures, discounts, invoices, payment evidence, receipts, reversals, overdue</t>
  </si>
  <si>
    <t>School Beta</t>
  </si>
  <si>
    <t>P3,P6</t>
  </si>
  <si>
    <t>Financial integrity and approvals mandatory</t>
  </si>
  <si>
    <t>P8</t>
  </si>
  <si>
    <t>HR, Payroll &amp; Leave</t>
  </si>
  <si>
    <t>Employees, monthly payroll, bonuses, deductions, salary approvals, configurable leave</t>
  </si>
  <si>
    <t>Admin Beta</t>
  </si>
  <si>
    <t>P2,P7</t>
  </si>
  <si>
    <t>Uses shared approval engine</t>
  </si>
  <si>
    <t>P9</t>
  </si>
  <si>
    <t>Library, Transport, Hostel &amp; Medical</t>
  </si>
  <si>
    <t>Optional operational modules with permission isolation</t>
  </si>
  <si>
    <t>Feature Complete</t>
  </si>
  <si>
    <t>P3,P8</t>
  </si>
  <si>
    <t>GPS/inventory remain deferred</t>
  </si>
  <si>
    <t>P10</t>
  </si>
  <si>
    <t>Offline Sync, Backup &amp; Hardening</t>
  </si>
  <si>
    <t>Encrypted local storage, conflict detection, backup/restore, resilience</t>
  </si>
  <si>
    <t>Resilience Gate</t>
  </si>
  <si>
    <t>Lead Engineer / QA</t>
  </si>
  <si>
    <t>P5,P7,P9</t>
  </si>
  <si>
    <t>No silent overwrite of critical records</t>
  </si>
  <si>
    <t>P11</t>
  </si>
  <si>
    <t>Analytics, Automation &amp; AI</t>
  </si>
  <si>
    <t>Dashboards, reports, event automation, permission-aware AI, conversation history</t>
  </si>
  <si>
    <t>Intelligence RC</t>
  </si>
  <si>
    <t>P6,P7,P10</t>
  </si>
  <si>
    <t>AI must never bypass authorization</t>
  </si>
  <si>
    <t>P12</t>
  </si>
  <si>
    <t>UAT, Security, Performance &amp; Launch</t>
  </si>
  <si>
    <t>End-to-end validation, migration test, UAT, production runbook and release</t>
  </si>
  <si>
    <t>GA Readiness</t>
  </si>
  <si>
    <t>P1-P11</t>
  </si>
  <si>
    <t>Production launch after gate approval</t>
  </si>
  <si>
    <t>Detailed Work Breakdown Structure / Master Task Register</t>
  </si>
  <si>
    <t>ID</t>
  </si>
  <si>
    <t>Workstream</t>
  </si>
  <si>
    <t>Task / Deliverable</t>
  </si>
  <si>
    <t>Days</t>
  </si>
  <si>
    <t>Priority</t>
  </si>
  <si>
    <t>Dependency</t>
  </si>
  <si>
    <t>Release</t>
  </si>
  <si>
    <t>Acceptance / Exit Criteria</t>
  </si>
  <si>
    <t>Risk Flag</t>
  </si>
  <si>
    <t>Last Update</t>
  </si>
  <si>
    <t>T001</t>
  </si>
  <si>
    <t>Product</t>
  </si>
  <si>
    <t>Requirements discovery and question log</t>
  </si>
  <si>
    <t>Critical</t>
  </si>
  <si>
    <t>Done</t>
  </si>
  <si>
    <t>All major business questions recorded</t>
  </si>
  <si>
    <t>T002</t>
  </si>
  <si>
    <t>Master requirements &amp; architecture specification v0.1</t>
  </si>
  <si>
    <t>Versioned master specification approved</t>
  </si>
  <si>
    <t>T003</t>
  </si>
  <si>
    <t>PM</t>
  </si>
  <si>
    <t>Project timeline, WBS, risks, RACI and governance baseline</t>
  </si>
  <si>
    <t>High</t>
  </si>
  <si>
    <t>PM workbook and management plan generated</t>
  </si>
  <si>
    <t>T004</t>
  </si>
  <si>
    <t>Engineering</t>
  </si>
  <si>
    <t>Repository layout, branching, coding standards and naming conventions</t>
  </si>
  <si>
    <t>Repository conventions documented</t>
  </si>
  <si>
    <t>T005</t>
  </si>
  <si>
    <t>Architecture</t>
  </si>
  <si>
    <t>Define SaaS control-plane responsibilities and school project boundaries</t>
  </si>
  <si>
    <t>Architecture decision recorded and testable</t>
  </si>
  <si>
    <t>T006</t>
  </si>
  <si>
    <t>Define environments: local/dev/staging/production</t>
  </si>
  <si>
    <t>Environment strategy documented</t>
  </si>
  <si>
    <t>T007</t>
  </si>
  <si>
    <t>Database</t>
  </si>
  <si>
    <t>Define PostgreSQL naming, IDs, timestamps, soft-delete and history conventions</t>
  </si>
  <si>
    <t>Database conventions approved</t>
  </si>
  <si>
    <t>T008</t>
  </si>
  <si>
    <t>Define migration strategy and schema-version tracking</t>
  </si>
  <si>
    <t>Migrations repeatable</t>
  </si>
  <si>
    <t>T009</t>
  </si>
  <si>
    <t>Security</t>
  </si>
  <si>
    <t>Define RLS architecture and server-side secret boundaries</t>
  </si>
  <si>
    <t>Default-deny security model approved</t>
  </si>
  <si>
    <t>T010</t>
  </si>
  <si>
    <t>Platform</t>
  </si>
  <si>
    <t>Define Storage buckets and private document access strategy</t>
  </si>
  <si>
    <t>Storage access patterns approved</t>
  </si>
  <si>
    <t>T011</t>
  </si>
  <si>
    <t>Define Edge Function/service boundaries</t>
  </si>
  <si>
    <t>Server responsibilities documented</t>
  </si>
  <si>
    <t>T012</t>
  </si>
  <si>
    <t>Deployment</t>
  </si>
  <si>
    <t>Create reusable school-project bootstrap/migration sequence</t>
  </si>
  <si>
    <t>T008,T009,T010</t>
  </si>
  <si>
    <t>Fresh project can be provisioned reproducibly</t>
  </si>
  <si>
    <t>T013</t>
  </si>
  <si>
    <t>Identity</t>
  </si>
  <si>
    <t>Person/profile model separate from auth account</t>
  </si>
  <si>
    <t>Schema + RLS tests pass</t>
  </si>
  <si>
    <t>T014</t>
  </si>
  <si>
    <t>Authentication</t>
  </si>
  <si>
    <t>Email/username login routing and school generated IDs</t>
  </si>
  <si>
    <t>Login and identity mapping verified</t>
  </si>
  <si>
    <t>T015</t>
  </si>
  <si>
    <t>RBAC</t>
  </si>
  <si>
    <t>Role catalog and multiple-role account model</t>
  </si>
  <si>
    <t>Multi-role switching works</t>
  </si>
  <si>
    <t>T016</t>
  </si>
  <si>
    <t>Permission actions: view/create/update/cancel/approve/export/publish</t>
  </si>
  <si>
    <t>Action permissions enforced</t>
  </si>
  <si>
    <t>T017</t>
  </si>
  <si>
    <t>Scope model: campus/class/section/subject/assigned/own</t>
  </si>
  <si>
    <t>Scope tests include negative cases</t>
  </si>
  <si>
    <t>T018</t>
  </si>
  <si>
    <t>School Setup</t>
  </si>
  <si>
    <t>School profile and configuration</t>
  </si>
  <si>
    <t>Configuration persisted and validated</t>
  </si>
  <si>
    <t>T019</t>
  </si>
  <si>
    <t>Campus</t>
  </si>
  <si>
    <t>Campus entities, rooms and campus-level assignment</t>
  </si>
  <si>
    <t>Campus separation enforced</t>
  </si>
  <si>
    <t>T020</t>
  </si>
  <si>
    <t>Academic</t>
  </si>
  <si>
    <t>Academic years, active year and historical switching</t>
  </si>
  <si>
    <t>Historic years accessible</t>
  </si>
  <si>
    <t>T021</t>
  </si>
  <si>
    <t>Class, section, capacity and roll-number configuration</t>
  </si>
  <si>
    <t>Capacity and numbering rules validated</t>
  </si>
  <si>
    <t>T022</t>
  </si>
  <si>
    <t>Students</t>
  </si>
  <si>
    <t>Student core profile and statuses</t>
  </si>
  <si>
    <t>T020,T021</t>
  </si>
  <si>
    <t>CRUD respects permissions</t>
  </si>
  <si>
    <t>T023</t>
  </si>
  <si>
    <t>Families</t>
  </si>
  <si>
    <t>Shared family account and student-family relationships</t>
  </si>
  <si>
    <t>One family sees all linked children</t>
  </si>
  <si>
    <t>T024</t>
  </si>
  <si>
    <t>Student numbering / admission format engine</t>
  </si>
  <si>
    <t>School-defined pattern passes validation</t>
  </si>
  <si>
    <t>T025</t>
  </si>
  <si>
    <t>Admissions</t>
  </si>
  <si>
    <t>Configurable admission stages and status history</t>
  </si>
  <si>
    <t>Stages can be skipped/configured</t>
  </si>
  <si>
    <t>T026</t>
  </si>
  <si>
    <t>Application / admission documents and storage links</t>
  </si>
  <si>
    <t>Private storage and 1MB policy applied</t>
  </si>
  <si>
    <t>T027</t>
  </si>
  <si>
    <t>Enrollment</t>
  </si>
  <si>
    <t>Enrollment history by year/campus/class/section/roll</t>
  </si>
  <si>
    <t>T022,T025</t>
  </si>
  <si>
    <t>History never overwritten</t>
  </si>
  <si>
    <t>T028</t>
  </si>
  <si>
    <t>Promotion</t>
  </si>
  <si>
    <t>Promotion/repeat/manual decision workflow</t>
  </si>
  <si>
    <t>New enrollment created correctly</t>
  </si>
  <si>
    <t>T029</t>
  </si>
  <si>
    <t>History</t>
  </si>
  <si>
    <t>Student status and important profile change history</t>
  </si>
  <si>
    <t>Status/change history auditable</t>
  </si>
  <si>
    <t>T030</t>
  </si>
  <si>
    <t>Curriculum</t>
  </si>
  <si>
    <t>Subjects, subject types and custom structures</t>
  </si>
  <si>
    <t>Supports compulsory/optional/elective/practical</t>
  </si>
  <si>
    <t>T031</t>
  </si>
  <si>
    <t>Curriculum by class/academic year</t>
  </si>
  <si>
    <t>Class/year curriculum mapped</t>
  </si>
  <si>
    <t>T032</t>
  </si>
  <si>
    <t>Student optional/elective subject enrollment</t>
  </si>
  <si>
    <t>T031,T027</t>
  </si>
  <si>
    <t>Student-specific choices supported</t>
  </si>
  <si>
    <t>T033</t>
  </si>
  <si>
    <t>Employees</t>
  </si>
  <si>
    <t>Teacher/employee core profiles and documents</t>
  </si>
  <si>
    <t>T013,T018</t>
  </si>
  <si>
    <t>Employee profile and documents secured</t>
  </si>
  <si>
    <t>T034</t>
  </si>
  <si>
    <t>Teaching</t>
  </si>
  <si>
    <t>Teacher subject/class/section/campus assignments</t>
  </si>
  <si>
    <t>T033,T030</t>
  </si>
  <si>
    <t>Assignments drive authorization</t>
  </si>
  <si>
    <t>T035</t>
  </si>
  <si>
    <t>Class teacher assignment model</t>
  </si>
  <si>
    <t>One class teacher per section configurable</t>
  </si>
  <si>
    <t>T036</t>
  </si>
  <si>
    <t>Timetable</t>
  </si>
  <si>
    <t>Timetable periods, school hours and breaks</t>
  </si>
  <si>
    <t>Period structure configurable</t>
  </si>
  <si>
    <t>T037</t>
  </si>
  <si>
    <t>Conflict validation: teacher/room/class</t>
  </si>
  <si>
    <t>No double booking</t>
  </si>
  <si>
    <t>T038</t>
  </si>
  <si>
    <t>Automatic timetable generator + manual adjustment</t>
  </si>
  <si>
    <t>T036,T037</t>
  </si>
  <si>
    <t>Valid schedule generated or manual fallback</t>
  </si>
  <si>
    <t>T039</t>
  </si>
  <si>
    <t>Attendance</t>
  </si>
  <si>
    <t>Attendance session model: morning + optional post-break</t>
  </si>
  <si>
    <t>T034,T027</t>
  </si>
  <si>
    <t>School-configured sessions supported</t>
  </si>
  <si>
    <t>T040</t>
  </si>
  <si>
    <t>Manual class attendance workflow</t>
  </si>
  <si>
    <t>Assigned teacher/class scope enforced</t>
  </si>
  <si>
    <t>T041</t>
  </si>
  <si>
    <t>QR attendance flow and student-card token strategy</t>
  </si>
  <si>
    <t>QR identifies valid student safely</t>
  </si>
  <si>
    <t>T042</t>
  </si>
  <si>
    <t>Late, early departure, leave and status handling</t>
  </si>
  <si>
    <t>All attendance states supported</t>
  </si>
  <si>
    <t>T043</t>
  </si>
  <si>
    <t>Attendance correction approval workflow</t>
  </si>
  <si>
    <t>Correction retains old/new/reason/approval</t>
  </si>
  <si>
    <t>T044</t>
  </si>
  <si>
    <t>Learning</t>
  </si>
  <si>
    <t>Homework/assignment/project/worksheet model</t>
  </si>
  <si>
    <t>T031,T034</t>
  </si>
  <si>
    <t>Work assigned to correct audience</t>
  </si>
  <si>
    <t>T045</t>
  </si>
  <si>
    <t>Student submissions, attachments, marks and feedback</t>
  </si>
  <si>
    <t>Submission lifecycle complete</t>
  </si>
  <si>
    <t>T046</t>
  </si>
  <si>
    <t>Notifications</t>
  </si>
  <si>
    <t>Notification inbox/read state/event interface</t>
  </si>
  <si>
    <t>Read/unread and event records work</t>
  </si>
  <si>
    <t>T047</t>
  </si>
  <si>
    <t>Attendance absence alerts to parents</t>
  </si>
  <si>
    <t>T040,T046</t>
  </si>
  <si>
    <t>Correct family notified</t>
  </si>
  <si>
    <t>T048</t>
  </si>
  <si>
    <t>Assessment</t>
  </si>
  <si>
    <t>Assessment/exam type configuration</t>
  </si>
  <si>
    <t>Unlimited/custom types supported</t>
  </si>
  <si>
    <t>T049</t>
  </si>
  <si>
    <t>Exam sessions, papers and custom mark components</t>
  </si>
  <si>
    <t>Theory/practical/custom parts supported</t>
  </si>
  <si>
    <t>T050</t>
  </si>
  <si>
    <t>Grading systems, pass rules and GPA options</t>
  </si>
  <si>
    <t>School-defined grading works</t>
  </si>
  <si>
    <t>T051</t>
  </si>
  <si>
    <t>Marks</t>
  </si>
  <si>
    <t>Teacher mark entry by assigned subject scope</t>
  </si>
  <si>
    <t>T034,T049</t>
  </si>
  <si>
    <t>Unauthorized subject entry blocked</t>
  </si>
  <si>
    <t>T052</t>
  </si>
  <si>
    <t>Marks correction request and revision history</t>
  </si>
  <si>
    <t>Old/new marks and approvals retained</t>
  </si>
  <si>
    <t>T053</t>
  </si>
  <si>
    <t>Results</t>
  </si>
  <si>
    <t>Result calculation totals/percentage/averages/ranking</t>
  </si>
  <si>
    <t>T050,T051</t>
  </si>
  <si>
    <t>Calculated results validated</t>
  </si>
  <si>
    <t>T054</t>
  </si>
  <si>
    <t>Exam Controller review, publish and lock workflow</t>
  </si>
  <si>
    <t>Publish blocked until review gate passes</t>
  </si>
  <si>
    <t>T055</t>
  </si>
  <si>
    <t>Result card / DMC dynamic generation</t>
  </si>
  <si>
    <t>PDF generated on demand, not stored</t>
  </si>
  <si>
    <t>T056</t>
  </si>
  <si>
    <t>Online tests: MCQ/T-F/short answer/essay baseline</t>
  </si>
  <si>
    <t>Medium</t>
  </si>
  <si>
    <t>T048,T044</t>
  </si>
  <si>
    <t>Attempt and marking lifecycle works</t>
  </si>
  <si>
    <t>T057</t>
  </si>
  <si>
    <t>Finance</t>
  </si>
  <si>
    <t>Fee types and fee structure engine</t>
  </si>
  <si>
    <t>Fee structure configurable</t>
  </si>
  <si>
    <t>T058</t>
  </si>
  <si>
    <t>Billing frequencies and student/class/campus/year fee assignment</t>
  </si>
  <si>
    <t>Monthly/quarterly/half-yearly/annual/custom supported</t>
  </si>
  <si>
    <t>T059</t>
  </si>
  <si>
    <t>Policy and custom discounts / scholarships</t>
  </si>
  <si>
    <t>Policy + student-specific discounts work</t>
  </si>
  <si>
    <t>T060</t>
  </si>
  <si>
    <t>Invoice numbering and dynamic PDF generation</t>
  </si>
  <si>
    <t>INV-YYYY-MM-number generated uniquely</t>
  </si>
  <si>
    <t>T061</t>
  </si>
  <si>
    <t>Payments</t>
  </si>
  <si>
    <t>Cash/bank/wallet payment records and evidence storage</t>
  </si>
  <si>
    <t>Evidence securely stored</t>
  </si>
  <si>
    <t>T062</t>
  </si>
  <si>
    <t>Pending verification / approve / reject / correction flow</t>
  </si>
  <si>
    <t>Unverified payment not official</t>
  </si>
  <si>
    <t>T063</t>
  </si>
  <si>
    <t>Duplicate payment detection</t>
  </si>
  <si>
    <t>Duplicates flagged</t>
  </si>
  <si>
    <t>T064</t>
  </si>
  <si>
    <t>Permanent receipt numbering and dynamic receipt generation</t>
  </si>
  <si>
    <t>Receipt number permanent</t>
  </si>
  <si>
    <t>T065</t>
  </si>
  <si>
    <t>Partial, advance, allocation, credit and refund handling</t>
  </si>
  <si>
    <t>T058,T062</t>
  </si>
  <si>
    <t>Balances reconcile after all scenarios</t>
  </si>
  <si>
    <t>T066</t>
  </si>
  <si>
    <t>Overdue balance, late fee and reminder rules</t>
  </si>
  <si>
    <t>T058,T046</t>
  </si>
  <si>
    <t>Overdue automation configurable</t>
  </si>
  <si>
    <t>T067</t>
  </si>
  <si>
    <t>Financial reversal/cancellation approval and audit flow</t>
  </si>
  <si>
    <t>No hard delete; reversal trace complete</t>
  </si>
  <si>
    <t>T068</t>
  </si>
  <si>
    <t>Monthly/yearly collection and outstanding reports</t>
  </si>
  <si>
    <t>Reports reconcile with ledger</t>
  </si>
  <si>
    <t>T069</t>
  </si>
  <si>
    <t>HR</t>
  </si>
  <si>
    <t>Employee departments/designations/contracts</t>
  </si>
  <si>
    <t>Employee structure complete</t>
  </si>
  <si>
    <t>T070</t>
  </si>
  <si>
    <t>Employee attendance and leave statuses</t>
  </si>
  <si>
    <t>Attendance states validated</t>
  </si>
  <si>
    <t>T071</t>
  </si>
  <si>
    <t>Leave</t>
  </si>
  <si>
    <t>Configurable leave types and approval chains</t>
  </si>
  <si>
    <t>School-defined approval chain works</t>
  </si>
  <si>
    <t>T072</t>
  </si>
  <si>
    <t>Payroll</t>
  </si>
  <si>
    <t>Monthly payroll period and salary components</t>
  </si>
  <si>
    <t>MM-YYYY payroll supported</t>
  </si>
  <si>
    <t>T073</t>
  </si>
  <si>
    <t>Bonus/overtime/manual deduction with reason</t>
  </si>
  <si>
    <t>Manual adjustments auditable</t>
  </si>
  <si>
    <t>T074</t>
  </si>
  <si>
    <t>Salary change/increment configuration and approvals</t>
  </si>
  <si>
    <t>Auto/manual increment options supported</t>
  </si>
  <si>
    <t>T075</t>
  </si>
  <si>
    <t>Payroll finalization, lock and payslip generation</t>
  </si>
  <si>
    <t>T072,T073</t>
  </si>
  <si>
    <t>Finalized payroll locked</t>
  </si>
  <si>
    <t>T076</t>
  </si>
  <si>
    <t>Library</t>
  </si>
  <si>
    <t>Book catalog, types, copies and availability</t>
  </si>
  <si>
    <t>Catalog/search/availability works</t>
  </si>
  <si>
    <t>T077</t>
  </si>
  <si>
    <t>Borrow/return/due/fine/history for students and teachers</t>
  </si>
  <si>
    <t>Borrow lifecycle auditable</t>
  </si>
  <si>
    <t>T078</t>
  </si>
  <si>
    <t>Book purchase/payment/status flow</t>
  </si>
  <si>
    <t>Low</t>
  </si>
  <si>
    <t>Purchase flow works</t>
  </si>
  <si>
    <t>T079</t>
  </si>
  <si>
    <t>Transport</t>
  </si>
  <si>
    <t>Vehicles, drivers, routes, stops and student assignment</t>
  </si>
  <si>
    <t>T027,T033</t>
  </si>
  <si>
    <t>Student-route assignment works</t>
  </si>
  <si>
    <t>T080</t>
  </si>
  <si>
    <t>Pickup/drop-off, transport fee link and bus attendance</t>
  </si>
  <si>
    <t>T079,T057</t>
  </si>
  <si>
    <t>Transport fee/attendance linked</t>
  </si>
  <si>
    <t>T081</t>
  </si>
  <si>
    <t>Hostel</t>
  </si>
  <si>
    <t>Hostel/building/floor/room/bed model</t>
  </si>
  <si>
    <t>Capacity/allocation structure works</t>
  </si>
  <si>
    <t>T082</t>
  </si>
  <si>
    <t>Student allocation, check-in/out, attendance and visitors</t>
  </si>
  <si>
    <t>Hostel lifecycle works</t>
  </si>
  <si>
    <t>T083</t>
  </si>
  <si>
    <t>Medical</t>
  </si>
  <si>
    <t>Medical profile, allergies, vaccinations and medication alerts</t>
  </si>
  <si>
    <t>Sensitive profile scoped</t>
  </si>
  <si>
    <t>T084</t>
  </si>
  <si>
    <t>Nurse visits/incidents with strict permissions</t>
  </si>
  <si>
    <t>T083,T017</t>
  </si>
  <si>
    <t>Unauthorized roles blocked</t>
  </si>
  <si>
    <t>T085</t>
  </si>
  <si>
    <t>Offline</t>
  </si>
  <si>
    <t>Offline data model and encrypted local cache</t>
  </si>
  <si>
    <t>T040,T061</t>
  </si>
  <si>
    <t>Local data encrypted</t>
  </si>
  <si>
    <t>T086</t>
  </si>
  <si>
    <t>Change queue, sync metadata and idempotency strategy</t>
  </si>
  <si>
    <t>Duplicate sync safe</t>
  </si>
  <si>
    <t>T087</t>
  </si>
  <si>
    <t>Conflict detection and administrator resolution</t>
  </si>
  <si>
    <t>Critical conflicts never silently overwritten</t>
  </si>
  <si>
    <t>T088</t>
  </si>
  <si>
    <t>Backup</t>
  </si>
  <si>
    <t>Database backup/restore runbook</t>
  </si>
  <si>
    <t>Restore rehearsal passes</t>
  </si>
  <si>
    <t>T089</t>
  </si>
  <si>
    <t>Configuration export/import package</t>
  </si>
  <si>
    <t>School config portable</t>
  </si>
  <si>
    <t>T090</t>
  </si>
  <si>
    <t>Fresh-school deployment rehearsal from zero</t>
  </si>
  <si>
    <t>T089,T012</t>
  </si>
  <si>
    <t>New project provisioned from documented steps</t>
  </si>
  <si>
    <t>T091</t>
  </si>
  <si>
    <t>Storage/RLS/secret/security regression tests</t>
  </si>
  <si>
    <t>Security regression suite passes</t>
  </si>
  <si>
    <t>T092</t>
  </si>
  <si>
    <t>Analytics</t>
  </si>
  <si>
    <t>Role dashboards and KPI query layer</t>
  </si>
  <si>
    <t>T053,T068,T074</t>
  </si>
  <si>
    <t>Role dashboards return authorized data</t>
  </si>
  <si>
    <t>T093</t>
  </si>
  <si>
    <t>Reports</t>
  </si>
  <si>
    <t>Permission-aware reporting/export framework</t>
  </si>
  <si>
    <t>Exports respect permissions</t>
  </si>
  <si>
    <t>T094</t>
  </si>
  <si>
    <t>Search</t>
  </si>
  <si>
    <t>Global permission-aware search</t>
  </si>
  <si>
    <t>T017,T027,T033</t>
  </si>
  <si>
    <t>Parent/teacher cannot search unauthorized students</t>
  </si>
  <si>
    <t>T095</t>
  </si>
  <si>
    <t>Automation</t>
  </si>
  <si>
    <t>Scheduled/event-triggered automation engine</t>
  </si>
  <si>
    <t>T046,T062</t>
  </si>
  <si>
    <t>Immediate/scheduled/event triggers work</t>
  </si>
  <si>
    <t>T096</t>
  </si>
  <si>
    <t>AI</t>
  </si>
  <si>
    <t>AI service layer and permission enforcement</t>
  </si>
  <si>
    <t>T017,T092</t>
  </si>
  <si>
    <t>AI authorization tests pass</t>
  </si>
  <si>
    <t>T097</t>
  </si>
  <si>
    <t>Teacher assistant / question generator</t>
  </si>
  <si>
    <t>T095,T031</t>
  </si>
  <si>
    <t>Teacher tools operate in assigned scope</t>
  </si>
  <si>
    <t>T098</t>
  </si>
  <si>
    <t>Student tutor / homework assistant</t>
  </si>
  <si>
    <t>T095,T044</t>
  </si>
  <si>
    <t>Student tutor scoped to student context</t>
  </si>
  <si>
    <t>T099</t>
  </si>
  <si>
    <t>Parent assistant / principal analytics</t>
  </si>
  <si>
    <t>T095,T091</t>
  </si>
  <si>
    <t>Role-specific analytics validated</t>
  </si>
  <si>
    <t>T100</t>
  </si>
  <si>
    <t>AI conversation history, retention and admin deletion</t>
  </si>
  <si>
    <t>Retention/delete controls work</t>
  </si>
  <si>
    <t>T101</t>
  </si>
  <si>
    <t>QA</t>
  </si>
  <si>
    <t>Full regression test suite</t>
  </si>
  <si>
    <t>T020-T099</t>
  </si>
  <si>
    <t>Core regression suite passes</t>
  </si>
  <si>
    <t>T102</t>
  </si>
  <si>
    <t>Authorization/RLS penetration and privilege-escalation testing</t>
  </si>
  <si>
    <t>No critical auth bypass</t>
  </si>
  <si>
    <t>T103</t>
  </si>
  <si>
    <t>Performance</t>
  </si>
  <si>
    <t>Load/performance test critical school workflows</t>
  </si>
  <si>
    <t>Performance targets met</t>
  </si>
  <si>
    <t>T104</t>
  </si>
  <si>
    <t>UAT</t>
  </si>
  <si>
    <t>School scenario UAT: admin/teacher/parent/student/accountant</t>
  </si>
  <si>
    <t>UAT accepted</t>
  </si>
  <si>
    <t>T105</t>
  </si>
  <si>
    <t>Data</t>
  </si>
  <si>
    <t>Migration/backup/restore and fresh deployment validation</t>
  </si>
  <si>
    <t>T089,T100</t>
  </si>
  <si>
    <t>Deployment/restore verified</t>
  </si>
  <si>
    <t>T106</t>
  </si>
  <si>
    <t>Documentation</t>
  </si>
  <si>
    <t>Admin guide, deployment guide, support runbook</t>
  </si>
  <si>
    <t>Operational docs complete</t>
  </si>
  <si>
    <t>T107</t>
  </si>
  <si>
    <t>Release candidate and issue burn-down</t>
  </si>
  <si>
    <t>T101,T102,T103,T104,T105</t>
  </si>
  <si>
    <t>No open critical defects</t>
  </si>
  <si>
    <t>T108</t>
  </si>
  <si>
    <t>GA go/no-go review and production launch</t>
  </si>
  <si>
    <t>Go/no-go signed</t>
  </si>
  <si>
    <t>Major Milestones &amp; Release Gates</t>
  </si>
  <si>
    <t>Milestone</t>
  </si>
  <si>
    <t>Target Date</t>
  </si>
  <si>
    <t>Deliverable</t>
  </si>
  <si>
    <t>Approver</t>
  </si>
  <si>
    <t>Exit Criteria</t>
  </si>
  <si>
    <t>Next Step</t>
  </si>
  <si>
    <t>M01</t>
  </si>
  <si>
    <t>Master requirements + PM baseline approved</t>
  </si>
  <si>
    <t>Product Owner</t>
  </si>
  <si>
    <t>No unresolved architecture blockers</t>
  </si>
  <si>
    <t>Foundation may begin</t>
  </si>
  <si>
    <t>M02</t>
  </si>
  <si>
    <t>SaaS, DB, RLS, storage, migration and deployment patterns approved</t>
  </si>
  <si>
    <t>Architecture decision records complete</t>
  </si>
  <si>
    <t>Foundation coding approved</t>
  </si>
  <si>
    <t>M03</t>
  </si>
  <si>
    <t>Auth/RBAC/scope/campus/academic foundation working</t>
  </si>
  <si>
    <t>Permission tests passing</t>
  </si>
  <si>
    <t>Student modules unlocked</t>
  </si>
  <si>
    <t>M04</t>
  </si>
  <si>
    <t>Admission, family, enrollment and promotion history working</t>
  </si>
  <si>
    <t>History and transfer scenarios pass</t>
  </si>
  <si>
    <t>Academic operations unlocked</t>
  </si>
  <si>
    <t>M05</t>
  </si>
  <si>
    <t>Timetable, attendance, homework and base notifications usable</t>
  </si>
  <si>
    <t>Teacher workflow UAT pass</t>
  </si>
  <si>
    <t>Pilot academic operations</t>
  </si>
  <si>
    <t>M06</t>
  </si>
  <si>
    <t>Exam/marks/results/report card workflow usable</t>
  </si>
  <si>
    <t>Exam Controller / Lead</t>
  </si>
  <si>
    <t>Publish-lock-correct lifecycle passes</t>
  </si>
  <si>
    <t>Pilot school use</t>
  </si>
  <si>
    <t>M07</t>
  </si>
  <si>
    <t>Finance and payments integrated with academic core</t>
  </si>
  <si>
    <t>Financial reconciliation passes</t>
  </si>
  <si>
    <t>Broader beta</t>
  </si>
  <si>
    <t>M08</t>
  </si>
  <si>
    <t>Core optional modules completed</t>
  </si>
  <si>
    <t>Module enable/disable validated</t>
  </si>
  <si>
    <t>Hardening begins</t>
  </si>
  <si>
    <t>M09</t>
  </si>
  <si>
    <t>Offline sync, backup/restore and deployment rehearsal pass</t>
  </si>
  <si>
    <t>Failure recovery scenarios pass</t>
  </si>
  <si>
    <t>RC eligible</t>
  </si>
  <si>
    <t>M10</t>
  </si>
  <si>
    <t>Analytics, automation and permission-aware AI complete</t>
  </si>
  <si>
    <t>Release candidate</t>
  </si>
  <si>
    <t>M11</t>
  </si>
  <si>
    <t>UAT, security, performance and documentation gates pass</t>
  </si>
  <si>
    <t>No unresolved critical defects</t>
  </si>
  <si>
    <t>Approve production</t>
  </si>
  <si>
    <t>M12</t>
  </si>
  <si>
    <t>General Availability</t>
  </si>
  <si>
    <t>Production release</t>
  </si>
  <si>
    <t>Operate/support</t>
  </si>
  <si>
    <t>Two-Week Sprint Calendar</t>
  </si>
  <si>
    <t>Sprint</t>
  </si>
  <si>
    <t>Primary Phase</t>
  </si>
  <si>
    <t>Suggested Focus</t>
  </si>
  <si>
    <t>Release / Gate</t>
  </si>
  <si>
    <t>S01</t>
  </si>
  <si>
    <t>Requirements, PM setup, repo standards</t>
  </si>
  <si>
    <t>Planned</t>
  </si>
  <si>
    <t>S02</t>
  </si>
  <si>
    <t>S03</t>
  </si>
  <si>
    <t>Architecture, migrations, RLS, control plane</t>
  </si>
  <si>
    <t>S04</t>
  </si>
  <si>
    <t>S05</t>
  </si>
  <si>
    <t>S06</t>
  </si>
  <si>
    <t>S07</t>
  </si>
  <si>
    <t>Auth, people, RBAC, campus, academic setup</t>
  </si>
  <si>
    <t>S08</t>
  </si>
  <si>
    <t>S09</t>
  </si>
  <si>
    <t>S10</t>
  </si>
  <si>
    <t>S11</t>
  </si>
  <si>
    <t>Launch/Support</t>
  </si>
  <si>
    <t>Integration</t>
  </si>
  <si>
    <t>S12</t>
  </si>
  <si>
    <t>Students, family, admissions, enrollment</t>
  </si>
  <si>
    <t>S13</t>
  </si>
  <si>
    <t>S14</t>
  </si>
  <si>
    <t>P3, P4</t>
  </si>
  <si>
    <t>Students, family, admissions, enrollment + Curriculum, teachers, timetable</t>
  </si>
  <si>
    <t>S15</t>
  </si>
  <si>
    <t>Curriculum, teachers, timetable</t>
  </si>
  <si>
    <t>S16</t>
  </si>
  <si>
    <t>S17</t>
  </si>
  <si>
    <t>P4, P5</t>
  </si>
  <si>
    <t>Curriculum, teachers, timetable + Attendance, assignments, notifications</t>
  </si>
  <si>
    <t>S18</t>
  </si>
  <si>
    <t>Attendance, assignments, notifications</t>
  </si>
  <si>
    <t>S19</t>
  </si>
  <si>
    <t>S20</t>
  </si>
  <si>
    <t>P5, P6</t>
  </si>
  <si>
    <t>Attendance, assignments, notifications + Exams, marks, results</t>
  </si>
  <si>
    <t>S21</t>
  </si>
  <si>
    <t>Exams, marks, results</t>
  </si>
  <si>
    <t>S22</t>
  </si>
  <si>
    <t>S23</t>
  </si>
  <si>
    <t>S24</t>
  </si>
  <si>
    <t>P6, P7</t>
  </si>
  <si>
    <t>Exams, marks, results + Fees, payments, finance</t>
  </si>
  <si>
    <t>S25</t>
  </si>
  <si>
    <t>Fees, payments, finance</t>
  </si>
  <si>
    <t>S26</t>
  </si>
  <si>
    <t>S27</t>
  </si>
  <si>
    <t>S28</t>
  </si>
  <si>
    <t>P7, P8</t>
  </si>
  <si>
    <t>Fees, payments, finance + HR, payroll, leave</t>
  </si>
  <si>
    <t>S29</t>
  </si>
  <si>
    <t>HR, payroll, leave</t>
  </si>
  <si>
    <t>S30</t>
  </si>
  <si>
    <t>S31</t>
  </si>
  <si>
    <t>P8, P9</t>
  </si>
  <si>
    <t>HR, payroll, leave + Library, transport, hostel, medical</t>
  </si>
  <si>
    <t>S32</t>
  </si>
  <si>
    <t>Library, transport, hostel, medical</t>
  </si>
  <si>
    <t>S33</t>
  </si>
  <si>
    <t>P9, P10</t>
  </si>
  <si>
    <t>Library, transport, hostel, medical + Offline, backup, resilience</t>
  </si>
  <si>
    <t>S34</t>
  </si>
  <si>
    <t>S35</t>
  </si>
  <si>
    <t>Offline, backup, resilience</t>
  </si>
  <si>
    <t>S36</t>
  </si>
  <si>
    <t>P10, P11</t>
  </si>
  <si>
    <t>Offline, backup, resilience + Analytics, automation, AI</t>
  </si>
  <si>
    <t>S37</t>
  </si>
  <si>
    <t>Analytics, automation, AI</t>
  </si>
  <si>
    <t>S38</t>
  </si>
  <si>
    <t>S39</t>
  </si>
  <si>
    <t>P11, P12</t>
  </si>
  <si>
    <t>Analytics, automation, AI + UAT, security, launch</t>
  </si>
  <si>
    <t>S40</t>
  </si>
  <si>
    <t>UAT, security, launch</t>
  </si>
  <si>
    <t>S41</t>
  </si>
  <si>
    <t>S42</t>
  </si>
  <si>
    <t>Release Strategy</t>
  </si>
  <si>
    <t>Target</t>
  </si>
  <si>
    <t>Audience</t>
  </si>
  <si>
    <t>Included Scope</t>
  </si>
  <si>
    <t>Excluded / Deferred</t>
  </si>
  <si>
    <t>Entry Criteria</t>
  </si>
  <si>
    <t>Rollback</t>
  </si>
  <si>
    <t>Support Level</t>
  </si>
  <si>
    <t>R0 Internal Foundation</t>
  </si>
  <si>
    <t>Development team</t>
  </si>
  <si>
    <t>Auth, RBAC, campus, academic foundation</t>
  </si>
  <si>
    <t>Business modules</t>
  </si>
  <si>
    <t>Architecture gate passed</t>
  </si>
  <si>
    <t>Foundation automated tests pass</t>
  </si>
  <si>
    <t>Revert migration in dev</t>
  </si>
  <si>
    <t>Engineering only</t>
  </si>
  <si>
    <t>R1 Student Alpha</t>
  </si>
  <si>
    <t>Internal + school SME</t>
  </si>
  <si>
    <t>Finance/exams</t>
  </si>
  <si>
    <t>R0 stable</t>
  </si>
  <si>
    <t>Student lifecycle UAT passes</t>
  </si>
  <si>
    <t>Snapshot + migration rollback</t>
  </si>
  <si>
    <t>Internal</t>
  </si>
  <si>
    <t>R2 Operations Alpha</t>
  </si>
  <si>
    <t>Internal pilot users</t>
  </si>
  <si>
    <t>Timetable, attendance, homework, notifications</t>
  </si>
  <si>
    <t>Finance/AI</t>
  </si>
  <si>
    <t>R1 stable</t>
  </si>
  <si>
    <t>Teacher workflows pass</t>
  </si>
  <si>
    <t>Feature flag / rollback</t>
  </si>
  <si>
    <t>Pilot</t>
  </si>
  <si>
    <t>R3 Academic Pilot</t>
  </si>
  <si>
    <t>Selected school pilot</t>
  </si>
  <si>
    <t>Finance full suite</t>
  </si>
  <si>
    <t>R2 stable</t>
  </si>
  <si>
    <t>Exam lifecycle passes</t>
  </si>
  <si>
    <t>Restore snapshot + app rollback</t>
  </si>
  <si>
    <t>R4 School Beta</t>
  </si>
  <si>
    <t>Broader school team</t>
  </si>
  <si>
    <t>Finance/payments + core academic</t>
  </si>
  <si>
    <t>Advanced optional modules</t>
  </si>
  <si>
    <t>Financial test pack passes</t>
  </si>
  <si>
    <t>Reconciliation/UAT pass</t>
  </si>
  <si>
    <t>DB backup + app rollback</t>
  </si>
  <si>
    <t>Beta</t>
  </si>
  <si>
    <t>R5 Feature Complete</t>
  </si>
  <si>
    <t>Pilot customer</t>
  </si>
  <si>
    <t>HR + optional modules</t>
  </si>
  <si>
    <t>AI advanced</t>
  </si>
  <si>
    <t>R4 stable</t>
  </si>
  <si>
    <t>Module acceptance passes</t>
  </si>
  <si>
    <t>Module flags + backup</t>
  </si>
  <si>
    <t>R6 Release Candidate</t>
  </si>
  <si>
    <t>Production-like pilot</t>
  </si>
  <si>
    <t>Offline, backup, analytics, automation, AI</t>
  </si>
  <si>
    <t>Deferred features</t>
  </si>
  <si>
    <t>Resilience gate passed</t>
  </si>
  <si>
    <t>Zero critical defects</t>
  </si>
  <si>
    <t>Full restore rehearsal</t>
  </si>
  <si>
    <t>RC</t>
  </si>
  <si>
    <t>R7 GA</t>
  </si>
  <si>
    <t>Production customers</t>
  </si>
  <si>
    <t>Full planned release</t>
  </si>
  <si>
    <t>GPS/biometrics/inventory/WhatsApp/payment gateway</t>
  </si>
  <si>
    <t>GA readiness gate</t>
  </si>
  <si>
    <t>Go/no-go approved</t>
  </si>
  <si>
    <t>Documented production rollback</t>
  </si>
  <si>
    <t>Production</t>
  </si>
  <si>
    <t>Module Scope &amp; Release Mapping</t>
  </si>
  <si>
    <t>Module</t>
  </si>
  <si>
    <t>Category</t>
  </si>
  <si>
    <t>Planned Phase</t>
  </si>
  <si>
    <t>Optional?</t>
  </si>
  <si>
    <t>Current Decision</t>
  </si>
  <si>
    <t>Key Notes</t>
  </si>
  <si>
    <t>SaaS Control Plane</t>
  </si>
  <si>
    <t>R0</t>
  </si>
  <si>
    <t>School routing, project/version metadata; no school operational data</t>
  </si>
  <si>
    <t>Foundation</t>
  </si>
  <si>
    <t>Email or admin-created username; school-generated ID retained</t>
  </si>
  <si>
    <t>People &amp; Accounts</t>
  </si>
  <si>
    <t>Person separated from login; one person may have multiple roles</t>
  </si>
  <si>
    <t>Roles/Permissions/Scopes</t>
  </si>
  <si>
    <t>Action + scope + approval authority</t>
  </si>
  <si>
    <t>School Configuration</t>
  </si>
  <si>
    <t>Name, code, logo, currency, timezone, numbering rules</t>
  </si>
  <si>
    <t>Campuses</t>
  </si>
  <si>
    <t>Separate campus scope with senior cross-campus view</t>
  </si>
  <si>
    <t>Academic Years</t>
  </si>
  <si>
    <t>History preserved; active-year and multi-year access</t>
  </si>
  <si>
    <t>Classes/Sections/Rooms</t>
  </si>
  <si>
    <t>Configurable levels, capacity, roll numbering</t>
  </si>
  <si>
    <t>Students/Families</t>
  </si>
  <si>
    <t>Student</t>
  </si>
  <si>
    <t>R1</t>
  </si>
  <si>
    <t>Shared family account and multiple children</t>
  </si>
  <si>
    <t>Configurable stages; some stages may be skipped</t>
  </si>
  <si>
    <t>Enrollment/Promotion</t>
  </si>
  <si>
    <t>New enrollment record each year; preserve history</t>
  </si>
  <si>
    <t>Curriculum/Subjects</t>
  </si>
  <si>
    <t>R2</t>
  </si>
  <si>
    <t>Compulsory/optional/elective/practical/custom</t>
  </si>
  <si>
    <t>Teachers/Assignments</t>
  </si>
  <si>
    <t>Different teacher per section; multi-campus supported</t>
  </si>
  <si>
    <t>Automatic generation + manual adjustment</t>
  </si>
  <si>
    <t>Operations</t>
  </si>
  <si>
    <t>Morning + optional break; manual/QR; correction approval</t>
  </si>
  <si>
    <t>Homework/Assignments</t>
  </si>
  <si>
    <t>Submission, feedback, marks, parent visibility</t>
  </si>
  <si>
    <t>P5/P11</t>
  </si>
  <si>
    <t>R2/R6</t>
  </si>
  <si>
    <t>In-app, push, email; WhatsApp later</t>
  </si>
  <si>
    <t>Exams/Results</t>
  </si>
  <si>
    <t>R3</t>
  </si>
  <si>
    <t>Custom assessment, approval, publish, lock</t>
  </si>
  <si>
    <t>Fees/Payments</t>
  </si>
  <si>
    <t>R4</t>
  </si>
  <si>
    <t>No hard delete; dynamic invoice/receipt PDFs</t>
  </si>
  <si>
    <t>HR/Payroll/Leave</t>
  </si>
  <si>
    <t>Administration</t>
  </si>
  <si>
    <t>R5</t>
  </si>
  <si>
    <t>Optional</t>
  </si>
  <si>
    <t>Monthly payroll; configurable approvals</t>
  </si>
  <si>
    <t>Student Life</t>
  </si>
  <si>
    <t>Borrow/purchase/history</t>
  </si>
  <si>
    <t>Routes and bus attendance; GPS later</t>
  </si>
  <si>
    <t>Building/floor/room/bed/student allocation</t>
  </si>
  <si>
    <t>Strict permissions</t>
  </si>
  <si>
    <t>Offline Sync</t>
  </si>
  <si>
    <t>R6</t>
  </si>
  <si>
    <t>Encrypted cache + conflict detection</t>
  </si>
  <si>
    <t>Backup/Recovery</t>
  </si>
  <si>
    <t>DB/config/deployment backup</t>
  </si>
  <si>
    <t>Reports/Search/Analytics</t>
  </si>
  <si>
    <t>Permission-aware</t>
  </si>
  <si>
    <t>Automation Engine</t>
  </si>
  <si>
    <t>Immediate/scheduled/event triggered</t>
  </si>
  <si>
    <t>AI Engine</t>
  </si>
  <si>
    <t>Permission-aware AI; conversations retained</t>
  </si>
  <si>
    <t>Inventory</t>
  </si>
  <si>
    <t>Future</t>
  </si>
  <si>
    <t>Not in first priority</t>
  </si>
  <si>
    <t>GPS/Biometrics/WhatsApp/Payment Gateway</t>
  </si>
  <si>
    <t>Architecture should not block later work</t>
  </si>
  <si>
    <t>Risk Register</t>
  </si>
  <si>
    <t>Risk</t>
  </si>
  <si>
    <t>Probability</t>
  </si>
  <si>
    <t>Impact</t>
  </si>
  <si>
    <t>Score</t>
  </si>
  <si>
    <t>Mitigation</t>
  </si>
  <si>
    <t>Trigger / Indicator</t>
  </si>
  <si>
    <t>Contingency</t>
  </si>
  <si>
    <t>Review Date</t>
  </si>
  <si>
    <t>R-01</t>
  </si>
  <si>
    <t>Scope grows faster than delivery capacity</t>
  </si>
  <si>
    <t>Scope</t>
  </si>
  <si>
    <t>Use module/release gates; defer non-core features</t>
  </si>
  <si>
    <t>Frequent additions inside active sprint</t>
  </si>
  <si>
    <t>Move feature to later release</t>
  </si>
  <si>
    <t>Open</t>
  </si>
  <si>
    <t>R-02</t>
  </si>
  <si>
    <t>Premature schema decisions create expensive migrations</t>
  </si>
  <si>
    <t>Design dependency order; ADRs; migration rehearsal</t>
  </si>
  <si>
    <t>Repeated destructive migrations</t>
  </si>
  <si>
    <t>Pause feature work and refactor foundation</t>
  </si>
  <si>
    <t>R-03</t>
  </si>
  <si>
    <t>RLS misconfiguration exposes sensitive school data</t>
  </si>
  <si>
    <t>Default deny; automated permission tests; security review</t>
  </si>
  <si>
    <t>Unexpected cross-role access</t>
  </si>
  <si>
    <t>Disable affected feature and patch policy</t>
  </si>
  <si>
    <t>R-04</t>
  </si>
  <si>
    <t>Offline conflicts corrupt attendance or finance</t>
  </si>
  <si>
    <t>Conflict detection; idempotency; no silent last-write-wins</t>
  </si>
  <si>
    <t>Duplicate/conflicting sync events</t>
  </si>
  <si>
    <t>Quarantine conflicts for admin resolution</t>
  </si>
  <si>
    <t>R-05</t>
  </si>
  <si>
    <t>Financial corrections become untraceable</t>
  </si>
  <si>
    <t>No hard delete; reversal + approval + audit</t>
  </si>
  <si>
    <t>Manual database edits requested</t>
  </si>
  <si>
    <t>Restrict direct SQL and reconcile ledger</t>
  </si>
  <si>
    <t>R-06</t>
  </si>
  <si>
    <t>One-person development becomes schedule bottleneck</t>
  </si>
  <si>
    <t>Resource</t>
  </si>
  <si>
    <t>Keep priorities strict; automate testing; document architecture</t>
  </si>
  <si>
    <t>Critical path slips &gt;2 sprints</t>
  </si>
  <si>
    <t>Add QA/dev support or move release date</t>
  </si>
  <si>
    <t>R-07</t>
  </si>
  <si>
    <t>AI reveals data user cannot normally access</t>
  </si>
  <si>
    <t>AI/Security</t>
  </si>
  <si>
    <t>AI uses permission-aware query/service layer</t>
  </si>
  <si>
    <t>AI response contains unauthorized fields</t>
  </si>
  <si>
    <t>Disable AI endpoint and audit access</t>
  </si>
  <si>
    <t>R-08</t>
  </si>
  <si>
    <t>Generated reports/PDFs consume excessive storage</t>
  </si>
  <si>
    <t>Storage</t>
  </si>
  <si>
    <t>Generate on demand; do not auto-store generated PDFs</t>
  </si>
  <si>
    <t>Bucket growth exceeds plan</t>
  </si>
  <si>
    <t>Purge temporary files</t>
  </si>
  <si>
    <t>R-09</t>
  </si>
  <si>
    <t>Uploaded documents exceed storage or performance limits</t>
  </si>
  <si>
    <t>Compress/resize; 1 MB limit; structured buckets</t>
  </si>
  <si>
    <t>High rejection/compression failure rate</t>
  </si>
  <si>
    <t>Adjust supported file strategy</t>
  </si>
  <si>
    <t>R-10</t>
  </si>
  <si>
    <t>Timetable auto-generation complexity delays release</t>
  </si>
  <si>
    <t>Algorithm</t>
  </si>
  <si>
    <t>Manual timetable remains supported; stage optimizer</t>
  </si>
  <si>
    <t>Generator fails valid schedules</t>
  </si>
  <si>
    <t>Ship manual-first with assisted conflict detection</t>
  </si>
  <si>
    <t>R-11</t>
  </si>
  <si>
    <t>Shared family login weakens action attribution</t>
  </si>
  <si>
    <t>Treat as family role by design; log account/device/session</t>
  </si>
  <si>
    <t>Dispute over who submitted action</t>
  </si>
  <si>
    <t>Require confirmation for sensitive parent actions</t>
  </si>
  <si>
    <t>Accepted</t>
  </si>
  <si>
    <t>R-12</t>
  </si>
  <si>
    <t>Email app-password setup becomes unreliable</t>
  </si>
  <si>
    <t>Abstract email provider; later support managed provider</t>
  </si>
  <si>
    <t>Delivery failures/bounces</t>
  </si>
  <si>
    <t>Switch provider without changing domain logic</t>
  </si>
  <si>
    <t>R-13</t>
  </si>
  <si>
    <t>Customer-specific customizations fork the codebase</t>
  </si>
  <si>
    <t>Use configuration/feature flags, not customer branches</t>
  </si>
  <si>
    <t>One-off code requested</t>
  </si>
  <si>
    <t>Reject fork; add configurable setting</t>
  </si>
  <si>
    <t>R-14</t>
  </si>
  <si>
    <t>Database migrations differ across school projects</t>
  </si>
  <si>
    <t>Schema version table; migration log; automated rollout checks</t>
  </si>
  <si>
    <t>Different schema versions detected</t>
  </si>
  <si>
    <t>Block app update until migration repaired</t>
  </si>
  <si>
    <t>R-15</t>
  </si>
  <si>
    <t>Backups exist but restore process is untested</t>
  </si>
  <si>
    <t>Recovery</t>
  </si>
  <si>
    <t>Scheduled restore drills</t>
  </si>
  <si>
    <t>Restore rehearsal fails</t>
  </si>
  <si>
    <t>Fix runbook before GA</t>
  </si>
  <si>
    <t>R-16</t>
  </si>
  <si>
    <t>Performance degrades with years of attendance/results</t>
  </si>
  <si>
    <t>Indexing, pagination, archival strategy, query plans</t>
  </si>
  <si>
    <t>Slow dashboard/report &gt; target</t>
  </si>
  <si>
    <t>Optimize queries/indexes</t>
  </si>
  <si>
    <t>R-17</t>
  </si>
  <si>
    <t>Approval engine becomes too generic and difficult to maintain</t>
  </si>
  <si>
    <t>Workflow</t>
  </si>
  <si>
    <t>Common core + typed request handlers; avoid arbitrary JSON-only model</t>
  </si>
  <si>
    <t>Many module-specific hacks</t>
  </si>
  <si>
    <t>Refactor workflow contracts</t>
  </si>
  <si>
    <t>R-18</t>
  </si>
  <si>
    <t>Audit log volume grows rapidly</t>
  </si>
  <si>
    <t>Structured audit retention/partition strategy later</t>
  </si>
  <si>
    <t>Audit queries slow</t>
  </si>
  <si>
    <t>Archive/export old audit data under policy</t>
  </si>
  <si>
    <t>R-19</t>
  </si>
  <si>
    <t>School users reject workflows as too complex</t>
  </si>
  <si>
    <t>UX</t>
  </si>
  <si>
    <t>Product Owner / SME</t>
  </si>
  <si>
    <t>Role-based dashboards, defaults, pilot feedback</t>
  </si>
  <si>
    <t>Support requests for basic tasks</t>
  </si>
  <si>
    <t>Simplify screens without weakening controls</t>
  </si>
  <si>
    <t>R-20</t>
  </si>
  <si>
    <t>Supabase plan limits or costs change</t>
  </si>
  <si>
    <t>Vendor</t>
  </si>
  <si>
    <t>Monitor usage/cost; keep portable PostgreSQL schema</t>
  </si>
  <si>
    <t>Unexpected cost growth</t>
  </si>
  <si>
    <t>Tune usage or revise deployment tier</t>
  </si>
  <si>
    <t>RACI Responsibility Matrix</t>
  </si>
  <si>
    <t>Activity</t>
  </si>
  <si>
    <t>School SME</t>
  </si>
  <si>
    <t>Exam Controller</t>
  </si>
  <si>
    <t>Finance/Admin</t>
  </si>
  <si>
    <t>Ops/Support</t>
  </si>
  <si>
    <t>Requirements &amp; scope</t>
  </si>
  <si>
    <t>A</t>
  </si>
  <si>
    <t>R</t>
  </si>
  <si>
    <t>C</t>
  </si>
  <si>
    <t>I</t>
  </si>
  <si>
    <t>Architecture decisions</t>
  </si>
  <si>
    <t>A/R</t>
  </si>
  <si>
    <t>Database schema &amp; migrations</t>
  </si>
  <si>
    <t>Security/RLS model</t>
  </si>
  <si>
    <t>UX/workflow validation</t>
  </si>
  <si>
    <t>Academic configuration</t>
  </si>
  <si>
    <t>A/C</t>
  </si>
  <si>
    <t>Attendance acceptance</t>
  </si>
  <si>
    <t>Exam/result workflow</t>
  </si>
  <si>
    <t>Finance workflow</t>
  </si>
  <si>
    <t>HR/payroll workflow</t>
  </si>
  <si>
    <t>Release testing</t>
  </si>
  <si>
    <t>Go/no-go decision</t>
  </si>
  <si>
    <t>Production incident response</t>
  </si>
  <si>
    <t>Customer onboarding/deployment</t>
  </si>
  <si>
    <t>Change control</t>
  </si>
  <si>
    <t>Quality, Test &amp; Release Gates</t>
  </si>
  <si>
    <t>Area</t>
  </si>
  <si>
    <t>Minimum Test Scope</t>
  </si>
  <si>
    <t>When</t>
  </si>
  <si>
    <t>Automate?</t>
  </si>
  <si>
    <t>Blocking?</t>
  </si>
  <si>
    <t>Pass Criteria</t>
  </si>
  <si>
    <t>Evidence</t>
  </si>
  <si>
    <t>Database migrations</t>
  </si>
  <si>
    <t>Fresh install + upgrade from previous schema</t>
  </si>
  <si>
    <t>Every migration</t>
  </si>
  <si>
    <t>Repeatable, no data loss</t>
  </si>
  <si>
    <t>CI logs / migration report</t>
  </si>
  <si>
    <t>RLS / authorization</t>
  </si>
  <si>
    <t>Positive + negative role/scope tests</t>
  </si>
  <si>
    <t>Every security change</t>
  </si>
  <si>
    <t>No unauthorized rows/actions</t>
  </si>
  <si>
    <t>Automated test report</t>
  </si>
  <si>
    <t>Audit</t>
  </si>
  <si>
    <t>Sensitive actions create immutable audit trail</t>
  </si>
  <si>
    <t>Per module</t>
  </si>
  <si>
    <t>Actor/action/time/old/new/reason captured</t>
  </si>
  <si>
    <t>Audit test evidence</t>
  </si>
  <si>
    <t>Approvals</t>
  </si>
  <si>
    <t>Request/approve/reject/cancel/retry workflows</t>
  </si>
  <si>
    <t>No bypass of required approval</t>
  </si>
  <si>
    <t>Workflow test report</t>
  </si>
  <si>
    <t>Morning/break/manual/QR/correction/offline</t>
  </si>
  <si>
    <t>P5/P10</t>
  </si>
  <si>
    <t>QA + SME</t>
  </si>
  <si>
    <t>Mixed</t>
  </si>
  <si>
    <t>All attendance scenarios reconcile</t>
  </si>
  <si>
    <t>Scenario checklist</t>
  </si>
  <si>
    <t>Exams/results</t>
  </si>
  <si>
    <t>Entry/correction/review/publish/lock</t>
  </si>
  <si>
    <t>QA + Exam Controller</t>
  </si>
  <si>
    <t>Published result lifecycle correct</t>
  </si>
  <si>
    <t>UAT sign-off</t>
  </si>
  <si>
    <t>Invoice/payment/reversal/advance/discount/reconciliation</t>
  </si>
  <si>
    <t>QA + Finance</t>
  </si>
  <si>
    <t>Ledger/report totals reconcile</t>
  </si>
  <si>
    <t>Finance test pack</t>
  </si>
  <si>
    <t>Monthly calc/bonus/deduction/approval/lock</t>
  </si>
  <si>
    <t>QA + Admin</t>
  </si>
  <si>
    <t>Payslip totals reconcile</t>
  </si>
  <si>
    <t>Payroll test pack</t>
  </si>
  <si>
    <t>Private access, compression, 1 MB policy</t>
  </si>
  <si>
    <t>P3/P9</t>
  </si>
  <si>
    <t>Unauthorized files inaccessible</t>
  </si>
  <si>
    <t>Storage policy tests</t>
  </si>
  <si>
    <t>Offline sync</t>
  </si>
  <si>
    <t>Queue/idempotency/conflict resolution</t>
  </si>
  <si>
    <t>No silent critical overwrites</t>
  </si>
  <si>
    <t>Sync stress test</t>
  </si>
  <si>
    <t>Backup/restore</t>
  </si>
  <si>
    <t>Restore latest backup in isolated environment</t>
  </si>
  <si>
    <t>P10/P12</t>
  </si>
  <si>
    <t>Recovery runbook passes</t>
  </si>
  <si>
    <t>Restore report</t>
  </si>
  <si>
    <t>Key workflows at realistic school size</t>
  </si>
  <si>
    <t>Targets agreed and met</t>
  </si>
  <si>
    <t>Load test report</t>
  </si>
  <si>
    <t>AI authorization</t>
  </si>
  <si>
    <t>AI answers only from permitted data</t>
  </si>
  <si>
    <t>P11/P12</t>
  </si>
  <si>
    <t>No permission bypass</t>
  </si>
  <si>
    <t>AI red-team cases</t>
  </si>
  <si>
    <t>Accessibility/UX</t>
  </si>
  <si>
    <t>Core flows usable by intended roles</t>
  </si>
  <si>
    <t>Per release</t>
  </si>
  <si>
    <t>No critical usability blockers</t>
  </si>
  <si>
    <t>UAT notes</t>
  </si>
  <si>
    <t>Release rollback</t>
  </si>
  <si>
    <t>App + DB rollback/recovery rehearsal</t>
  </si>
  <si>
    <t>R6/R7</t>
  </si>
  <si>
    <t>Rollback/recovery documented and proven</t>
  </si>
  <si>
    <t>Runbook</t>
  </si>
  <si>
    <t>Project Change &amp; Decision Log</t>
  </si>
  <si>
    <t>Date</t>
  </si>
  <si>
    <t>Type</t>
  </si>
  <si>
    <t>Decision / Change</t>
  </si>
  <si>
    <t>Reason</t>
  </si>
  <si>
    <t>Approved By</t>
  </si>
  <si>
    <t>Version / Reference</t>
  </si>
  <si>
    <t>D-001</t>
  </si>
  <si>
    <t>Use SaaS deployment model</t>
  </si>
  <si>
    <t>Product intended for distribution</t>
  </si>
  <si>
    <t>Introduces control plane and repeatable deployment</t>
  </si>
  <si>
    <t>Approved</t>
  </si>
  <si>
    <t>Requirements v0.1</t>
  </si>
  <si>
    <t>D-002</t>
  </si>
  <si>
    <t>Stronger tenant isolation and simpler school RLS</t>
  </si>
  <si>
    <t>Requires per-school provisioning/version management</t>
  </si>
  <si>
    <t>D-003</t>
  </si>
  <si>
    <t>Five engines: data, permission, workflow, automation, AI</t>
  </si>
  <si>
    <t>Avoid disconnected CRUD architecture</t>
  </si>
  <si>
    <t>Cross-cutting platform design required</t>
  </si>
  <si>
    <t>D-004</t>
  </si>
  <si>
    <t>Financial records are reversed/cancelled, not hard-deleted</t>
  </si>
  <si>
    <t>Audit/accounting integrity</t>
  </si>
  <si>
    <t>Requires correction/reversal workflows</t>
  </si>
  <si>
    <t>D-005</t>
  </si>
  <si>
    <t>Generated PDFs are on-demand and not auto-stored</t>
  </si>
  <si>
    <t>Reduce storage consumption</t>
  </si>
  <si>
    <t>Need reliable document generators</t>
  </si>
  <si>
    <t>D-006</t>
  </si>
  <si>
    <t>Inventory, GPS, biometrics, WhatsApp and payment gateway deferred</t>
  </si>
  <si>
    <t>Control initial scope</t>
  </si>
  <si>
    <t>Keep extension points only</t>
  </si>
  <si>
    <t>D-007</t>
  </si>
  <si>
    <t>2026-09-21</t>
  </si>
  <si>
    <t>Attendance core is capture-method independent; manual and QR are V1 adapters, biometric/camera/RFID/NFC are future adapters</t>
  </si>
  <si>
    <t>Future attendance hardware must not force redesign of attendance history</t>
  </si>
  <si>
    <t>Add source/device/event extensibility while deferring biometric/camera implementation</t>
  </si>
  <si>
    <t>Codex Environment v0.2</t>
  </si>
  <si>
    <t>Phase Gantt - Monthly View</t>
  </si>
  <si>
    <t>School OS SaaS - Project Management Dashboard</t>
  </si>
  <si>
    <t>Metric</t>
  </si>
  <si>
    <t>Value</t>
  </si>
  <si>
    <t>Task Status</t>
  </si>
  <si>
    <t>Count</t>
  </si>
  <si>
    <t>Project Start</t>
  </si>
  <si>
    <t>Total Planned Tasks</t>
  </si>
  <si>
    <t>At Risk</t>
  </si>
  <si>
    <t>Tasks Done</t>
  </si>
  <si>
    <t>Blocked</t>
  </si>
  <si>
    <t>Tasks In Progress</t>
  </si>
  <si>
    <t>Tasks At Risk/Blocked</t>
  </si>
  <si>
    <t>Overall Completion</t>
  </si>
  <si>
    <t>Open / Mitigating Risks</t>
  </si>
  <si>
    <t>High/Critical Risks (score &gt;=15)</t>
  </si>
  <si>
    <t>Next Major Gate</t>
  </si>
  <si>
    <t>Management Notes</t>
  </si>
  <si>
    <t>Current focus</t>
  </si>
  <si>
    <t>Freeze architecture before production schema build</t>
  </si>
  <si>
    <t>Cadence</t>
  </si>
  <si>
    <t>Two-week sprints; weekly risk review; milestone gate at phase end</t>
  </si>
  <si>
    <t>Change rule</t>
  </si>
  <si>
    <t>No major scope added to active sprint without explicit trade-off</t>
  </si>
  <si>
    <t>Security rule</t>
  </si>
  <si>
    <t>RLS/default-deny and approval/audit requirements are release blockers</t>
  </si>
  <si>
    <t>Finance rule</t>
  </si>
  <si>
    <t>No destructive deletion of financial transactions</t>
  </si>
  <si>
    <t>AI rule</t>
  </si>
  <si>
    <t>AI must use the same permission boundaries as the application</t>
  </si>
  <si>
    <t>How to Use This Project Management Workbook</t>
  </si>
  <si>
    <t>Sheet</t>
  </si>
  <si>
    <t>Purpose</t>
  </si>
  <si>
    <t>Update Frequency</t>
  </si>
  <si>
    <t>Primary Owner</t>
  </si>
  <si>
    <t>What to Edit</t>
  </si>
  <si>
    <t>Important Rule</t>
  </si>
  <si>
    <t>Dashboard</t>
  </si>
  <si>
    <t>Executive status, task counts, risks, phase progress</t>
  </si>
  <si>
    <t>Weekly</t>
  </si>
  <si>
    <t>Mostly automatic; update task/risk sheets</t>
  </si>
  <si>
    <t>Do not manually overwrite KPI formulas</t>
  </si>
  <si>
    <t>Roadmap</t>
  </si>
  <si>
    <t>High-level phases and baseline dates</t>
  </si>
  <si>
    <t>At phase planning/change approval</t>
  </si>
  <si>
    <t>Dates, owner, status, progress</t>
  </si>
  <si>
    <t>Change dates only through approved replan</t>
  </si>
  <si>
    <t>Task Register</t>
  </si>
  <si>
    <t>Detailed WBS and delivery tracking</t>
  </si>
  <si>
    <t>Daily/weekly</t>
  </si>
  <si>
    <t>Status, progress, dates, notes</t>
  </si>
  <si>
    <t>Every task needs an acceptance criterion</t>
  </si>
  <si>
    <t>Gantt</t>
  </si>
  <si>
    <t>Monthly visual of roadmap</t>
  </si>
  <si>
    <t>At roadmap change</t>
  </si>
  <si>
    <t>Phase dates if deliberately replanned</t>
  </si>
  <si>
    <t>Use as presentation view, not the detailed tracker</t>
  </si>
  <si>
    <t>Sprints</t>
  </si>
  <si>
    <t>Two-week sprint calendar</t>
  </si>
  <si>
    <t>Every sprint</t>
  </si>
  <si>
    <t>Focus, status, notes</t>
  </si>
  <si>
    <t>Do not overload sprint with deferred modules</t>
  </si>
  <si>
    <t>Milestones</t>
  </si>
  <si>
    <t>Release and architecture gates</t>
  </si>
  <si>
    <t>At gate review</t>
  </si>
  <si>
    <t>Status and evidence</t>
  </si>
  <si>
    <t>No gate passes without evidence</t>
  </si>
  <si>
    <t>Release Plan</t>
  </si>
  <si>
    <t>Alpha/beta/RC/GA scope</t>
  </si>
  <si>
    <t>Before each release</t>
  </si>
  <si>
    <t>Scope and criteria</t>
  </si>
  <si>
    <t>Excluded scope stays excluded unless change approved</t>
  </si>
  <si>
    <t>Module Scope</t>
  </si>
  <si>
    <t>Module priorities and release mapping</t>
  </si>
  <si>
    <t>Monthly</t>
  </si>
  <si>
    <t>Priority/release/decision</t>
  </si>
  <si>
    <t>Prevents scope creep</t>
  </si>
  <si>
    <t>Risks</t>
  </si>
  <si>
    <t>Risk register and mitigation</t>
  </si>
  <si>
    <t>Probability, impact, mitigation, status</t>
  </si>
  <si>
    <t>Escalate score &gt;=15</t>
  </si>
  <si>
    <t>RACI</t>
  </si>
  <si>
    <t>Responsibility matrix</t>
  </si>
  <si>
    <t>When team changes</t>
  </si>
  <si>
    <t>Responsibility cells</t>
  </si>
  <si>
    <t>Keep accountability clear</t>
  </si>
  <si>
    <t>QA &amp; Gates</t>
  </si>
  <si>
    <t>Quality criteria and release blockers</t>
  </si>
  <si>
    <t>Per sprint/release</t>
  </si>
  <si>
    <t>QA / Lead</t>
  </si>
  <si>
    <t>Status/evidence/notes</t>
  </si>
  <si>
    <t>Blocking tests must pass</t>
  </si>
  <si>
    <t>Change Log</t>
  </si>
  <si>
    <t>Architecture and scope decisions</t>
  </si>
  <si>
    <t>As decisions occur</t>
  </si>
  <si>
    <t>Add new row</t>
  </si>
  <si>
    <t>Never silently overwrite major decisions</t>
  </si>
  <si>
    <t>Assumptions</t>
  </si>
  <si>
    <t>Planning assumptions behind dates</t>
  </si>
  <si>
    <t>When assumptions change</t>
  </si>
  <si>
    <t>Baseline assumptions</t>
  </si>
  <si>
    <t>Re-estimate when capacity/scope changes</t>
  </si>
  <si>
    <t>School OS SaaS - Future / Advanced Feature Roadmap</t>
  </si>
  <si>
    <t>Future Feature</t>
  </si>
  <si>
    <t>Domain</t>
  </si>
  <si>
    <t>Priority Later</t>
  </si>
  <si>
    <t>Current Status</t>
  </si>
  <si>
    <t>Architecture Requirement Now</t>
  </si>
  <si>
    <t>Likely Integration Pattern</t>
  </si>
  <si>
    <t>Risk / Complexity</t>
  </si>
  <si>
    <t>F-001</t>
  </si>
  <si>
    <t>Fingerprint / biometric attendance devices</t>
  </si>
  <si>
    <t>Attendance core must be capture-method independent; preserve device/event IDs and source metadata</t>
  </si>
  <si>
    <t>Device adapter -&gt; validated attendance event -&gt; attendance service</t>
  </si>
  <si>
    <t>Attendance, device registry, identity mapping, sync</t>
  </si>
  <si>
    <t>Vendor SDK/protocol differences; privacy and biometric governance required</t>
  </si>
  <si>
    <t>F-002</t>
  </si>
  <si>
    <t>Camera / face-recognition attendance</t>
  </si>
  <si>
    <t>Do not couple attendance table to QR/manual; allow camera-generated recognition events and confidence metadata</t>
  </si>
  <si>
    <t>Camera/vision service -&gt; recognition event -&gt; human/rule validation -&gt; attendance service</t>
  </si>
  <si>
    <t>Attendance, device registry, media/AI service, identity mapping</t>
  </si>
  <si>
    <t>Very High</t>
  </si>
  <si>
    <t>Requires privacy, consent/legal review, anti-spoofing, model accuracy and hardware planning</t>
  </si>
  <si>
    <t>F-003</t>
  </si>
  <si>
    <t>RFID / NFC attendance</t>
  </si>
  <si>
    <t>Student identifiers/cards should support external token mapping</t>
  </si>
  <si>
    <t>Reader adapter -&gt; token event -&gt; identity resolution -&gt; attendance service</t>
  </si>
  <si>
    <t>Student cards, device registry, attendance</t>
  </si>
  <si>
    <t>Reader hardware and card lifecycle</t>
  </si>
  <si>
    <t>F-004</t>
  </si>
  <si>
    <t>Advanced QR anti-fraud</t>
  </si>
  <si>
    <t>QR token strategy should allow rotation/versioning and optional confirmation</t>
  </si>
  <si>
    <t>Scanner -&gt; signed/rotating token validation -&gt; attendance</t>
  </si>
  <si>
    <t>QR attendance, student cards</t>
  </si>
  <si>
    <t>May add photo/device confirmation</t>
  </si>
  <si>
    <t>F-005</t>
  </si>
  <si>
    <t>Live bus GPS tracking</t>
  </si>
  <si>
    <t>Transport model should use stable vehicle/route/student assignments independent of tracking provider</t>
  </si>
  <si>
    <t>GPS provider adapter -&gt; telemetry stream -&gt; transport tracking service</t>
  </si>
  <si>
    <t>Vehicles, routes, parent notifications</t>
  </si>
  <si>
    <t>Realtime location cost, privacy, provider variance</t>
  </si>
  <si>
    <t>F-006</t>
  </si>
  <si>
    <t>WhatsApp messaging</t>
  </si>
  <si>
    <t>Notification engine must use provider/channel adapters</t>
  </si>
  <si>
    <t>Notification event -&gt; WhatsApp provider adapter</t>
  </si>
  <si>
    <t>Notifications, templates, consent</t>
  </si>
  <si>
    <t>Provider pricing, template approval, opt-in</t>
  </si>
  <si>
    <t>F-007</t>
  </si>
  <si>
    <t>Direct payment gateway</t>
  </si>
  <si>
    <t>Payment ledger must support externally confirmed payments without changing financial core</t>
  </si>
  <si>
    <t>Gateway webhook -&gt; payment verification -&gt; ledger/receipt</t>
  </si>
  <si>
    <t>Payments, finance, webhook security</t>
  </si>
  <si>
    <t>Idempotency, refunds, reconciliation</t>
  </si>
  <si>
    <t>F-008</t>
  </si>
  <si>
    <t>Inventory / asset management</t>
  </si>
  <si>
    <t>No dependency required in student core; keep module boundaries clean</t>
  </si>
  <si>
    <t>Optional module</t>
  </si>
  <si>
    <t>Procurement/HR/rooms</t>
  </si>
  <si>
    <t>Large independent domain</t>
  </si>
  <si>
    <t>F-009</t>
  </si>
  <si>
    <t>IoT / smart classroom integration</t>
  </si>
  <si>
    <t>Use device registry + event adapter concepts rather than embedding vendor fields</t>
  </si>
  <si>
    <t>Device gateway -&gt; event bus/service</t>
  </si>
  <si>
    <t>Rooms, timetable, automation</t>
  </si>
  <si>
    <t>Vendor fragmentation</t>
  </si>
  <si>
    <t>F-010</t>
  </si>
  <si>
    <t>CCTV integrations</t>
  </si>
  <si>
    <t>Keep out of core operational schema; integrate by references/events only</t>
  </si>
  <si>
    <t>External surveillance integration</t>
  </si>
  <si>
    <t>Security policies</t>
  </si>
  <si>
    <t>Privacy/security/legal implications</t>
  </si>
  <si>
    <t>F-011</t>
  </si>
  <si>
    <t>Government reporting integrations</t>
  </si>
  <si>
    <t>Reporting</t>
  </si>
  <si>
    <t>Reporting layer should expose stable canonical data views</t>
  </si>
  <si>
    <t>Export/API adapters</t>
  </si>
  <si>
    <t>Student, academic, finance depending jurisdiction</t>
  </si>
  <si>
    <t>Jurisdiction-specific schemas</t>
  </si>
  <si>
    <t>F-012</t>
  </si>
  <si>
    <t>External accounting integrations</t>
  </si>
  <si>
    <t>Finance records should expose stable transaction identifiers and export views</t>
  </si>
  <si>
    <t>Accounting connector/export adapter</t>
  </si>
  <si>
    <t>Finance ledger</t>
  </si>
  <si>
    <t>Reconciliation and mapping</t>
  </si>
  <si>
    <t>F-013</t>
  </si>
  <si>
    <t>Additional languages / RTL</t>
  </si>
  <si>
    <t>No hard-coded display text in data model; localization-ready UI</t>
  </si>
  <si>
    <t>Localization layer</t>
  </si>
  <si>
    <t>Flutter UI</t>
  </si>
  <si>
    <t>Arabic/Urdu RTL</t>
  </si>
  <si>
    <t>F-014</t>
  </si>
  <si>
    <t>Voice assistant</t>
  </si>
  <si>
    <t>AI engine should expose service APIs independent of text UI</t>
  </si>
  <si>
    <t>Voice UI -&gt; AI service</t>
  </si>
  <si>
    <t>AI permissions, speech provider</t>
  </si>
  <si>
    <t>Speech privacy/cost</t>
  </si>
  <si>
    <t>F-015</t>
  </si>
  <si>
    <t>Advanced predictive analytics / early-warning</t>
  </si>
  <si>
    <t>AI/Analytics</t>
  </si>
  <si>
    <t>Preserve high-quality historical attendance/results/assignment data</t>
  </si>
  <si>
    <t>Analytics feature store / model service</t>
  </si>
  <si>
    <t>Attendance, results, assignments</t>
  </si>
  <si>
    <t>Bias, explainability, model governance</t>
  </si>
  <si>
    <t>F-016</t>
  </si>
  <si>
    <t>Digital certificate verification / blockchain</t>
  </si>
  <si>
    <t>Documents</t>
  </si>
  <si>
    <t>Generated certificate IDs and verification metadata should be stable</t>
  </si>
  <si>
    <t>Verification service</t>
  </si>
  <si>
    <t>Certificates, documents</t>
  </si>
  <si>
    <t>Blockchain may not be necessary; keep provider-neutral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</si>
</sst>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B1F33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/>
    <xf numFmtId="9" fontId="0" fillId="0" borderId="0" xfId="0" applyNumberFormat="1" applyAlignment="1">
      <alignment wrapText="1"/>
    </xf>
    <xf numFmtId="17" fontId="2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</cellXfs>
  <cellStyles count="1">
    <cellStyle name="Normal" xfId="0" builtinId="0"/>
  </cellStyles>
  <dxfs count="7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Tasks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Dashboard!$I$4:$I$8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At Risk</c:v>
                </c:pt>
                <c:pt idx="3">
                  <c:v>Blocked</c:v>
                </c:pt>
                <c:pt idx="4">
                  <c:v>Done</c:v>
                </c:pt>
              </c:strCache>
            </c:strRef>
          </c:cat>
          <c:val>
            <c:numRef>
              <c:f>Dashboard!$J$4:$J$8</c:f>
              <c:numCache>
                <c:formatCode>General</c:formatCode>
                <c:ptCount val="5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B-4BA6-8A7D-CA139875A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Phase Progress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Status</c:v>
          </c:tx>
          <c:invertIfNegative val="1"/>
          <c:cat>
            <c:strRef>
              <c:f>Dashboard!$D$4:$D$16</c:f>
              <c:strCache>
                <c:ptCount val="13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  <c:pt idx="8">
                  <c:v>P8</c:v>
                </c:pt>
                <c:pt idx="9">
                  <c:v>P9</c:v>
                </c:pt>
                <c:pt idx="10">
                  <c:v>P10</c:v>
                </c:pt>
                <c:pt idx="11">
                  <c:v>P11</c:v>
                </c:pt>
                <c:pt idx="12">
                  <c:v>P12</c:v>
                </c:pt>
              </c:strCache>
            </c:strRef>
          </c:cat>
          <c:val>
            <c:numRef>
              <c:f>Dashboard!$E$4:$E$16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A-4C16-883E-E27FE75E6913}"/>
            </c:ext>
          </c:extLst>
        </c:ser>
        <c:ser>
          <c:idx val="1"/>
          <c:order val="1"/>
          <c:tx>
            <c:v>Progress %</c:v>
          </c:tx>
          <c:invertIfNegative val="1"/>
          <c:cat>
            <c:strRef>
              <c:f>Dashboard!$D$4:$D$16</c:f>
              <c:strCache>
                <c:ptCount val="13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  <c:pt idx="8">
                  <c:v>P8</c:v>
                </c:pt>
                <c:pt idx="9">
                  <c:v>P9</c:v>
                </c:pt>
                <c:pt idx="10">
                  <c:v>P10</c:v>
                </c:pt>
                <c:pt idx="11">
                  <c:v>P11</c:v>
                </c:pt>
                <c:pt idx="12">
                  <c:v>P12</c:v>
                </c:pt>
              </c:strCache>
            </c:strRef>
          </c:cat>
          <c:val>
            <c:numRef>
              <c:f>Dashboard!$F$4:$F$16</c:f>
              <c:numCache>
                <c:formatCode>0%</c:formatCode>
                <c:ptCount val="13"/>
                <c:pt idx="0">
                  <c:v>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A-4C16-883E-E27FE75E6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admapTable" displayName="RoadmapTable" ref="A3:L16" totalsRowShown="0">
  <tableColumns count="12">
    <tableColumn id="1" xr3:uid="{00000000-0010-0000-0000-000001000000}" name="Phase"/>
    <tableColumn id="2" xr3:uid="{00000000-0010-0000-0000-000002000000}" name="Name"/>
    <tableColumn id="3" xr3:uid="{00000000-0010-0000-0000-000003000000}" name="Start"/>
    <tableColumn id="4" xr3:uid="{00000000-0010-0000-0000-000004000000}" name="End"/>
    <tableColumn id="5" xr3:uid="{00000000-0010-0000-0000-000005000000}" name="Weeks"/>
    <tableColumn id="6" xr3:uid="{00000000-0010-0000-0000-000006000000}" name="Primary Outcome"/>
    <tableColumn id="7" xr3:uid="{00000000-0010-0000-0000-000007000000}" name="Release Gate"/>
    <tableColumn id="8" xr3:uid="{00000000-0010-0000-0000-000008000000}" name="Owner"/>
    <tableColumn id="9" xr3:uid="{00000000-0010-0000-0000-000009000000}" name="Status"/>
    <tableColumn id="10" xr3:uid="{00000000-0010-0000-0000-00000A000000}" name="Progress %"/>
    <tableColumn id="11" xr3:uid="{00000000-0010-0000-0000-00000B000000}" name="Dependencies"/>
    <tableColumn id="12" xr3:uid="{00000000-0010-0000-0000-00000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RegisterTable" displayName="TaskRegisterTable" ref="A3:Q111" totalsRowShown="0">
  <tableColumns count="17">
    <tableColumn id="1" xr3:uid="{00000000-0010-0000-0100-000001000000}" name="ID"/>
    <tableColumn id="2" xr3:uid="{00000000-0010-0000-0100-000002000000}" name="Phase"/>
    <tableColumn id="3" xr3:uid="{00000000-0010-0000-0100-000003000000}" name="Workstream"/>
    <tableColumn id="4" xr3:uid="{00000000-0010-0000-0100-000004000000}" name="Task / Deliverable"/>
    <tableColumn id="5" xr3:uid="{00000000-0010-0000-0100-000005000000}" name="Start"/>
    <tableColumn id="6" xr3:uid="{00000000-0010-0000-0100-000006000000}" name="End"/>
    <tableColumn id="7" xr3:uid="{00000000-0010-0000-0100-000007000000}" name="Days"/>
    <tableColumn id="8" xr3:uid="{00000000-0010-0000-0100-000008000000}" name="Owner"/>
    <tableColumn id="9" xr3:uid="{00000000-0010-0000-0100-000009000000}" name="Priority"/>
    <tableColumn id="10" xr3:uid="{00000000-0010-0000-0100-00000A000000}" name="Status"/>
    <tableColumn id="11" xr3:uid="{00000000-0010-0000-0100-00000B000000}" name="Progress %"/>
    <tableColumn id="12" xr3:uid="{00000000-0010-0000-0100-00000C000000}" name="Dependency"/>
    <tableColumn id="13" xr3:uid="{00000000-0010-0000-0100-00000D000000}" name="Release"/>
    <tableColumn id="14" xr3:uid="{00000000-0010-0000-0100-00000E000000}" name="Acceptance / Exit Criteria"/>
    <tableColumn id="15" xr3:uid="{00000000-0010-0000-0100-00000F000000}" name="Risk Flag"/>
    <tableColumn id="16" xr3:uid="{00000000-0010-0000-0100-000010000000}" name="Notes"/>
    <tableColumn id="17" xr3:uid="{00000000-0010-0000-0100-000011000000}" name="Last Up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ilestonesTable" displayName="MilestonesTable" ref="A3:I15" totalsRowShown="0">
  <tableColumns count="9">
    <tableColumn id="1" xr3:uid="{00000000-0010-0000-0200-000001000000}" name="ID"/>
    <tableColumn id="2" xr3:uid="{00000000-0010-0000-0200-000002000000}" name="Milestone"/>
    <tableColumn id="3" xr3:uid="{00000000-0010-0000-0200-000003000000}" name="Target Date"/>
    <tableColumn id="4" xr3:uid="{00000000-0010-0000-0200-000004000000}" name="Phase"/>
    <tableColumn id="5" xr3:uid="{00000000-0010-0000-0200-000005000000}" name="Deliverable"/>
    <tableColumn id="6" xr3:uid="{00000000-0010-0000-0200-000006000000}" name="Approver"/>
    <tableColumn id="7" xr3:uid="{00000000-0010-0000-0200-000007000000}" name="Status"/>
    <tableColumn id="8" xr3:uid="{00000000-0010-0000-0200-000008000000}" name="Exit Criteria"/>
    <tableColumn id="9" xr3:uid="{00000000-0010-0000-0200-000009000000}" name="Next Ste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printsTable" displayName="SprintsTable" ref="A3:H45" totalsRowShown="0">
  <tableColumns count="8">
    <tableColumn id="1" xr3:uid="{00000000-0010-0000-0300-000001000000}" name="Sprint"/>
    <tableColumn id="2" xr3:uid="{00000000-0010-0000-0300-000002000000}" name="Start"/>
    <tableColumn id="3" xr3:uid="{00000000-0010-0000-0300-000003000000}" name="End"/>
    <tableColumn id="4" xr3:uid="{00000000-0010-0000-0300-000004000000}" name="Primary Phase"/>
    <tableColumn id="5" xr3:uid="{00000000-0010-0000-0300-000005000000}" name="Suggested Focus"/>
    <tableColumn id="6" xr3:uid="{00000000-0010-0000-0300-000006000000}" name="Release / Gate"/>
    <tableColumn id="7" xr3:uid="{00000000-0010-0000-0300-000007000000}" name="Status"/>
    <tableColumn id="8" xr3:uid="{00000000-0010-0000-03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leaseTable" displayName="ReleaseTable" ref="A3:J11" totalsRowShown="0">
  <tableColumns count="10">
    <tableColumn id="1" xr3:uid="{00000000-0010-0000-0400-000001000000}" name="Release"/>
    <tableColumn id="2" xr3:uid="{00000000-0010-0000-0400-000002000000}" name="Target"/>
    <tableColumn id="3" xr3:uid="{00000000-0010-0000-0400-000003000000}" name="Audience"/>
    <tableColumn id="4" xr3:uid="{00000000-0010-0000-0400-000004000000}" name="Included Scope"/>
    <tableColumn id="5" xr3:uid="{00000000-0010-0000-0400-000005000000}" name="Excluded / Deferred"/>
    <tableColumn id="6" xr3:uid="{00000000-0010-0000-0400-000006000000}" name="Entry Criteria"/>
    <tableColumn id="7" xr3:uid="{00000000-0010-0000-0400-000007000000}" name="Exit Criteria"/>
    <tableColumn id="8" xr3:uid="{00000000-0010-0000-0400-000008000000}" name="Rollback"/>
    <tableColumn id="9" xr3:uid="{00000000-0010-0000-0400-000009000000}" name="Support Level"/>
    <tableColumn id="10" xr3:uid="{00000000-0010-0000-0400-00000A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duleScopeTable" displayName="ModuleScopeTable" ref="A3:H34" totalsRowShown="0">
  <tableColumns count="8">
    <tableColumn id="1" xr3:uid="{00000000-0010-0000-0500-000001000000}" name="Module"/>
    <tableColumn id="2" xr3:uid="{00000000-0010-0000-0500-000002000000}" name="Category"/>
    <tableColumn id="3" xr3:uid="{00000000-0010-0000-0500-000003000000}" name="Priority"/>
    <tableColumn id="4" xr3:uid="{00000000-0010-0000-0500-000004000000}" name="Planned Phase"/>
    <tableColumn id="5" xr3:uid="{00000000-0010-0000-0500-000005000000}" name="Release"/>
    <tableColumn id="6" xr3:uid="{00000000-0010-0000-0500-000006000000}" name="Optional?"/>
    <tableColumn id="7" xr3:uid="{00000000-0010-0000-0500-000007000000}" name="Current Decision"/>
    <tableColumn id="8" xr3:uid="{00000000-0010-0000-0500-000008000000}" name="Key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RegisterTable" displayName="RiskRegisterTable" ref="A3:L23" totalsRowShown="0">
  <tableColumns count="12">
    <tableColumn id="1" xr3:uid="{00000000-0010-0000-0600-000001000000}" name="ID"/>
    <tableColumn id="2" xr3:uid="{00000000-0010-0000-0600-000002000000}" name="Risk"/>
    <tableColumn id="3" xr3:uid="{00000000-0010-0000-0600-000003000000}" name="Category"/>
    <tableColumn id="4" xr3:uid="{00000000-0010-0000-0600-000004000000}" name="Probability"/>
    <tableColumn id="5" xr3:uid="{00000000-0010-0000-0600-000005000000}" name="Impact"/>
    <tableColumn id="6" xr3:uid="{00000000-0010-0000-0600-000006000000}" name="Score"/>
    <tableColumn id="7" xr3:uid="{00000000-0010-0000-0600-000007000000}" name="Owner"/>
    <tableColumn id="8" xr3:uid="{00000000-0010-0000-0600-000008000000}" name="Mitigation"/>
    <tableColumn id="9" xr3:uid="{00000000-0010-0000-0600-000009000000}" name="Trigger / Indicator"/>
    <tableColumn id="10" xr3:uid="{00000000-0010-0000-0600-00000A000000}" name="Contingency"/>
    <tableColumn id="11" xr3:uid="{00000000-0010-0000-0600-00000B000000}" name="Status"/>
    <tableColumn id="12" xr3:uid="{00000000-0010-0000-0600-00000C000000}" name="Review 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AGatesTable" displayName="QAGatesTable" ref="A3:J18" totalsRowShown="0">
  <tableColumns count="10">
    <tableColumn id="1" xr3:uid="{00000000-0010-0000-0700-000001000000}" name="Area"/>
    <tableColumn id="2" xr3:uid="{00000000-0010-0000-0700-000002000000}" name="Minimum Test Scope"/>
    <tableColumn id="3" xr3:uid="{00000000-0010-0000-0700-000003000000}" name="When"/>
    <tableColumn id="4" xr3:uid="{00000000-0010-0000-0700-000004000000}" name="Owner"/>
    <tableColumn id="5" xr3:uid="{00000000-0010-0000-0700-000005000000}" name="Automate?"/>
    <tableColumn id="6" xr3:uid="{00000000-0010-0000-0700-000006000000}" name="Blocking?"/>
    <tableColumn id="7" xr3:uid="{00000000-0010-0000-0700-000007000000}" name="Pass Criteria"/>
    <tableColumn id="8" xr3:uid="{00000000-0010-0000-0700-000008000000}" name="Evidence"/>
    <tableColumn id="9" xr3:uid="{00000000-0010-0000-0700-000009000000}" name="Status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hangeLogTable" displayName="ChangeLogTable" ref="A3:I9" totalsRowShown="0">
  <tableColumns count="9">
    <tableColumn id="1" xr3:uid="{00000000-0010-0000-0800-000001000000}" name="ID"/>
    <tableColumn id="2" xr3:uid="{00000000-0010-0000-0800-000002000000}" name="Date"/>
    <tableColumn id="3" xr3:uid="{00000000-0010-0000-0800-000003000000}" name="Type"/>
    <tableColumn id="4" xr3:uid="{00000000-0010-0000-0800-000004000000}" name="Decision / Change"/>
    <tableColumn id="5" xr3:uid="{00000000-0010-0000-0800-000005000000}" name="Reason"/>
    <tableColumn id="6" xr3:uid="{00000000-0010-0000-0800-000006000000}" name="Impact"/>
    <tableColumn id="7" xr3:uid="{00000000-0010-0000-0800-000007000000}" name="Approved By"/>
    <tableColumn id="8" xr3:uid="{00000000-0010-0000-0800-000008000000}" name="Status"/>
    <tableColumn id="9" xr3:uid="{00000000-0010-0000-0800-000009000000}" name="Version / Refer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utureRoadmapTable" displayName="FutureRoadmapTable" ref="A3:J19" totalsRowShown="0">
  <tableColumns count="10">
    <tableColumn id="1" xr3:uid="{00000000-0010-0000-0900-000001000000}" name="ID"/>
    <tableColumn id="2" xr3:uid="{00000000-0010-0000-0900-000002000000}" name="Future Feature"/>
    <tableColumn id="3" xr3:uid="{00000000-0010-0000-0900-000003000000}" name="Domain"/>
    <tableColumn id="4" xr3:uid="{00000000-0010-0000-0900-000004000000}" name="Priority Later"/>
    <tableColumn id="5" xr3:uid="{00000000-0010-0000-0900-000005000000}" name="Current Status"/>
    <tableColumn id="6" xr3:uid="{00000000-0010-0000-0900-000006000000}" name="Architecture Requirement Now"/>
    <tableColumn id="7" xr3:uid="{00000000-0010-0000-0900-000007000000}" name="Likely Integration Pattern"/>
    <tableColumn id="8" xr3:uid="{00000000-0010-0000-0900-000008000000}" name="Dependencies"/>
    <tableColumn id="9" xr3:uid="{00000000-0010-0000-0900-000009000000}" name="Risk / Complexity"/>
    <tableColumn id="10" xr3:uid="{00000000-0010-0000-09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6" sqref="A6"/>
    </sheetView>
  </sheetViews>
  <sheetFormatPr defaultRowHeight="14"/>
  <cols>
    <col min="1" max="1" width="22" customWidth="1"/>
    <col min="2" max="2" width="30" customWidth="1"/>
    <col min="3" max="3" width="12" customWidth="1"/>
    <col min="4" max="4" width="34" customWidth="1"/>
    <col min="5" max="5" width="18" customWidth="1"/>
    <col min="6" max="6" width="46" customWidth="1"/>
  </cols>
  <sheetData>
    <row r="1" spans="1:6" ht="20">
      <c r="A1" s="11" t="s">
        <v>0</v>
      </c>
      <c r="B1" s="11"/>
      <c r="C1" s="11"/>
      <c r="D1" s="11"/>
      <c r="E1" s="11"/>
      <c r="F1" s="1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7</v>
      </c>
      <c r="B3" s="4">
        <v>46286</v>
      </c>
      <c r="C3" s="3" t="s">
        <v>8</v>
      </c>
      <c r="D3" s="3" t="s">
        <v>9</v>
      </c>
      <c r="E3" s="3" t="s">
        <v>2</v>
      </c>
      <c r="F3" s="3" t="s">
        <v>10</v>
      </c>
    </row>
    <row r="4" spans="1:6">
      <c r="A4" s="3" t="s">
        <v>11</v>
      </c>
      <c r="B4" s="4">
        <v>46860</v>
      </c>
      <c r="C4" s="3" t="s">
        <v>8</v>
      </c>
      <c r="D4" s="3" t="s">
        <v>12</v>
      </c>
      <c r="E4" s="3" t="s">
        <v>2</v>
      </c>
      <c r="F4" s="3" t="s">
        <v>13</v>
      </c>
    </row>
    <row r="5" spans="1:6">
      <c r="A5" s="3" t="s">
        <v>14</v>
      </c>
      <c r="B5" s="3" t="s">
        <v>15</v>
      </c>
      <c r="C5" s="3" t="s">
        <v>8</v>
      </c>
      <c r="D5" s="3" t="s">
        <v>16</v>
      </c>
      <c r="E5" s="3" t="s">
        <v>17</v>
      </c>
      <c r="F5" s="3" t="s">
        <v>18</v>
      </c>
    </row>
    <row r="6" spans="1:6">
      <c r="A6" s="3" t="s">
        <v>19</v>
      </c>
      <c r="B6" s="3" t="s">
        <v>20</v>
      </c>
      <c r="C6" s="3" t="s">
        <v>8</v>
      </c>
      <c r="D6" s="3" t="s">
        <v>21</v>
      </c>
      <c r="E6" s="3" t="s">
        <v>17</v>
      </c>
      <c r="F6" s="3" t="s">
        <v>22</v>
      </c>
    </row>
    <row r="7" spans="1:6" ht="28">
      <c r="A7" s="3" t="s">
        <v>23</v>
      </c>
      <c r="B7" s="3" t="s">
        <v>24</v>
      </c>
      <c r="C7" s="3" t="s">
        <v>25</v>
      </c>
      <c r="D7" s="3" t="s">
        <v>26</v>
      </c>
      <c r="E7" s="3" t="s">
        <v>17</v>
      </c>
      <c r="F7" s="3" t="s">
        <v>27</v>
      </c>
    </row>
    <row r="8" spans="1:6">
      <c r="A8" s="3" t="s">
        <v>28</v>
      </c>
      <c r="B8" s="3" t="s">
        <v>29</v>
      </c>
      <c r="C8" s="3" t="s">
        <v>25</v>
      </c>
      <c r="D8" s="3" t="s">
        <v>30</v>
      </c>
      <c r="E8" s="3" t="s">
        <v>17</v>
      </c>
      <c r="F8" s="3" t="s">
        <v>31</v>
      </c>
    </row>
    <row r="9" spans="1:6" ht="28">
      <c r="A9" s="3" t="s">
        <v>32</v>
      </c>
      <c r="B9" s="3" t="s">
        <v>33</v>
      </c>
      <c r="C9" s="3" t="s">
        <v>8</v>
      </c>
      <c r="D9" s="3" t="s">
        <v>34</v>
      </c>
      <c r="E9" s="3" t="s">
        <v>35</v>
      </c>
      <c r="F9" s="3" t="s">
        <v>36</v>
      </c>
    </row>
    <row r="10" spans="1:6" ht="28">
      <c r="A10" s="3" t="s">
        <v>37</v>
      </c>
      <c r="B10" s="3" t="s">
        <v>38</v>
      </c>
      <c r="C10" s="3" t="s">
        <v>8</v>
      </c>
      <c r="D10" s="3" t="s">
        <v>39</v>
      </c>
      <c r="E10" s="3" t="s">
        <v>2</v>
      </c>
      <c r="F10" s="3" t="s">
        <v>40</v>
      </c>
    </row>
    <row r="11" spans="1:6">
      <c r="A11" s="3" t="s">
        <v>41</v>
      </c>
      <c r="B11" s="3" t="s">
        <v>42</v>
      </c>
      <c r="C11" s="3" t="s">
        <v>8</v>
      </c>
      <c r="D11" s="3" t="s">
        <v>43</v>
      </c>
      <c r="E11" s="3" t="s">
        <v>17</v>
      </c>
      <c r="F11" s="3" t="s">
        <v>44</v>
      </c>
    </row>
    <row r="12" spans="1:6" ht="42">
      <c r="A12" s="3" t="s">
        <v>45</v>
      </c>
      <c r="B12" s="3" t="s">
        <v>46</v>
      </c>
      <c r="C12" s="3" t="s">
        <v>8</v>
      </c>
      <c r="D12" s="3" t="s">
        <v>47</v>
      </c>
      <c r="E12" s="3" t="s">
        <v>17</v>
      </c>
      <c r="F12" s="3" t="s">
        <v>48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tabSelected="1" topLeftCell="G1" workbookViewId="0">
      <selection activeCell="J4" sqref="J4"/>
    </sheetView>
  </sheetViews>
  <sheetFormatPr defaultRowHeight="14"/>
  <cols>
    <col min="1" max="1" width="8" customWidth="1"/>
    <col min="2" max="2" width="31" customWidth="1"/>
    <col min="3" max="4" width="13" customWidth="1"/>
    <col min="5" max="5" width="8" customWidth="1"/>
    <col min="6" max="6" width="44" customWidth="1"/>
    <col min="7" max="7" width="20" customWidth="1"/>
    <col min="8" max="8" width="24" customWidth="1"/>
    <col min="9" max="9" width="15" customWidth="1"/>
    <col min="10" max="10" width="12" customWidth="1"/>
    <col min="11" max="11" width="18" customWidth="1"/>
    <col min="12" max="12" width="48" customWidth="1"/>
  </cols>
  <sheetData>
    <row r="1" spans="1:12" ht="20">
      <c r="A1" s="11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</v>
      </c>
    </row>
    <row r="4" spans="1:12" ht="28">
      <c r="A4" s="3" t="s">
        <v>61</v>
      </c>
      <c r="B4" s="3" t="s">
        <v>62</v>
      </c>
      <c r="C4" s="4">
        <v>46286</v>
      </c>
      <c r="D4" s="4">
        <v>46311</v>
      </c>
      <c r="E4" s="3">
        <v>4</v>
      </c>
      <c r="F4" s="3" t="s">
        <v>63</v>
      </c>
      <c r="G4" s="3" t="s">
        <v>64</v>
      </c>
      <c r="H4" s="3" t="s">
        <v>65</v>
      </c>
      <c r="I4" s="3" t="s">
        <v>156</v>
      </c>
      <c r="J4" s="6">
        <v>1</v>
      </c>
      <c r="K4" s="3" t="s">
        <v>67</v>
      </c>
      <c r="L4" s="3" t="s">
        <v>68</v>
      </c>
    </row>
    <row r="5" spans="1:12" ht="28">
      <c r="A5" s="3" t="s">
        <v>69</v>
      </c>
      <c r="B5" s="3" t="s">
        <v>70</v>
      </c>
      <c r="C5" s="4">
        <v>46314</v>
      </c>
      <c r="D5" s="4">
        <v>46367</v>
      </c>
      <c r="E5" s="3">
        <v>8</v>
      </c>
      <c r="F5" s="3" t="s">
        <v>71</v>
      </c>
      <c r="G5" s="3" t="s">
        <v>72</v>
      </c>
      <c r="H5" s="3" t="s">
        <v>73</v>
      </c>
      <c r="I5" s="3" t="s">
        <v>156</v>
      </c>
      <c r="J5" s="6">
        <v>1</v>
      </c>
      <c r="K5" s="3" t="s">
        <v>61</v>
      </c>
      <c r="L5" s="3" t="s">
        <v>75</v>
      </c>
    </row>
    <row r="6" spans="1:12" ht="28">
      <c r="A6" s="3" t="s">
        <v>76</v>
      </c>
      <c r="B6" s="3" t="s">
        <v>77</v>
      </c>
      <c r="C6" s="4">
        <v>46370</v>
      </c>
      <c r="D6" s="4">
        <v>46430</v>
      </c>
      <c r="E6" s="3">
        <v>9</v>
      </c>
      <c r="F6" s="3" t="s">
        <v>78</v>
      </c>
      <c r="G6" s="3" t="s">
        <v>79</v>
      </c>
      <c r="H6" s="3" t="s">
        <v>73</v>
      </c>
      <c r="I6" s="3" t="s">
        <v>74</v>
      </c>
      <c r="J6" s="6">
        <v>0</v>
      </c>
      <c r="K6" s="3" t="s">
        <v>69</v>
      </c>
      <c r="L6" s="3" t="s">
        <v>80</v>
      </c>
    </row>
    <row r="7" spans="1:12" ht="28">
      <c r="A7" s="3" t="s">
        <v>81</v>
      </c>
      <c r="B7" s="3" t="s">
        <v>82</v>
      </c>
      <c r="C7" s="4">
        <v>46433</v>
      </c>
      <c r="D7" s="4">
        <v>46486</v>
      </c>
      <c r="E7" s="3">
        <v>8</v>
      </c>
      <c r="F7" s="3" t="s">
        <v>83</v>
      </c>
      <c r="G7" s="3" t="s">
        <v>84</v>
      </c>
      <c r="H7" s="3" t="s">
        <v>73</v>
      </c>
      <c r="I7" s="3" t="s">
        <v>74</v>
      </c>
      <c r="J7" s="6">
        <v>0</v>
      </c>
      <c r="K7" s="3" t="s">
        <v>76</v>
      </c>
      <c r="L7" s="3" t="s">
        <v>85</v>
      </c>
    </row>
    <row r="8" spans="1:12" ht="28">
      <c r="A8" s="3" t="s">
        <v>86</v>
      </c>
      <c r="B8" s="3" t="s">
        <v>87</v>
      </c>
      <c r="C8" s="4">
        <v>46468</v>
      </c>
      <c r="D8" s="4">
        <v>46521</v>
      </c>
      <c r="E8" s="3">
        <v>8</v>
      </c>
      <c r="F8" s="3" t="s">
        <v>88</v>
      </c>
      <c r="G8" s="3" t="s">
        <v>89</v>
      </c>
      <c r="H8" s="3" t="s">
        <v>73</v>
      </c>
      <c r="I8" s="3" t="s">
        <v>74</v>
      </c>
      <c r="J8" s="6">
        <v>0</v>
      </c>
      <c r="K8" s="3" t="s">
        <v>90</v>
      </c>
      <c r="L8" s="3" t="s">
        <v>91</v>
      </c>
    </row>
    <row r="9" spans="1:12" ht="28">
      <c r="A9" s="3" t="s">
        <v>92</v>
      </c>
      <c r="B9" s="3" t="s">
        <v>93</v>
      </c>
      <c r="C9" s="4">
        <v>46503</v>
      </c>
      <c r="D9" s="4">
        <v>46563</v>
      </c>
      <c r="E9" s="3">
        <v>9</v>
      </c>
      <c r="F9" s="3" t="s">
        <v>94</v>
      </c>
      <c r="G9" s="3" t="s">
        <v>95</v>
      </c>
      <c r="H9" s="3" t="s">
        <v>73</v>
      </c>
      <c r="I9" s="3" t="s">
        <v>74</v>
      </c>
      <c r="J9" s="6">
        <v>0</v>
      </c>
      <c r="K9" s="3" t="s">
        <v>96</v>
      </c>
      <c r="L9" s="3" t="s">
        <v>97</v>
      </c>
    </row>
    <row r="10" spans="1:12" ht="28">
      <c r="A10" s="3" t="s">
        <v>98</v>
      </c>
      <c r="B10" s="3" t="s">
        <v>99</v>
      </c>
      <c r="C10" s="4">
        <v>46552</v>
      </c>
      <c r="D10" s="4">
        <v>46619</v>
      </c>
      <c r="E10" s="3">
        <v>10</v>
      </c>
      <c r="F10" s="3" t="s">
        <v>100</v>
      </c>
      <c r="G10" s="3" t="s">
        <v>101</v>
      </c>
      <c r="H10" s="3" t="s">
        <v>73</v>
      </c>
      <c r="I10" s="3" t="s">
        <v>74</v>
      </c>
      <c r="J10" s="6">
        <v>0</v>
      </c>
      <c r="K10" s="3" t="s">
        <v>102</v>
      </c>
      <c r="L10" s="3" t="s">
        <v>103</v>
      </c>
    </row>
    <row r="11" spans="1:12" ht="28">
      <c r="A11" s="3" t="s">
        <v>104</v>
      </c>
      <c r="B11" s="3" t="s">
        <v>105</v>
      </c>
      <c r="C11" s="4">
        <v>46608</v>
      </c>
      <c r="D11" s="4">
        <v>46682</v>
      </c>
      <c r="E11" s="3">
        <v>11</v>
      </c>
      <c r="F11" s="3" t="s">
        <v>106</v>
      </c>
      <c r="G11" s="3" t="s">
        <v>107</v>
      </c>
      <c r="H11" s="3" t="s">
        <v>73</v>
      </c>
      <c r="I11" s="3" t="s">
        <v>74</v>
      </c>
      <c r="J11" s="6">
        <v>0</v>
      </c>
      <c r="K11" s="3" t="s">
        <v>108</v>
      </c>
      <c r="L11" s="3" t="s">
        <v>109</v>
      </c>
    </row>
    <row r="12" spans="1:12" ht="28">
      <c r="A12" s="3" t="s">
        <v>110</v>
      </c>
      <c r="B12" s="3" t="s">
        <v>111</v>
      </c>
      <c r="C12" s="4">
        <v>46664</v>
      </c>
      <c r="D12" s="4">
        <v>46717</v>
      </c>
      <c r="E12" s="3">
        <v>8</v>
      </c>
      <c r="F12" s="3" t="s">
        <v>112</v>
      </c>
      <c r="G12" s="3" t="s">
        <v>113</v>
      </c>
      <c r="H12" s="3" t="s">
        <v>73</v>
      </c>
      <c r="I12" s="3" t="s">
        <v>74</v>
      </c>
      <c r="J12" s="6">
        <v>0</v>
      </c>
      <c r="K12" s="3" t="s">
        <v>114</v>
      </c>
      <c r="L12" s="3" t="s">
        <v>115</v>
      </c>
    </row>
    <row r="13" spans="1:12" ht="28">
      <c r="A13" s="3" t="s">
        <v>116</v>
      </c>
      <c r="B13" s="3" t="s">
        <v>117</v>
      </c>
      <c r="C13" s="4">
        <v>46699</v>
      </c>
      <c r="D13" s="4">
        <v>46766</v>
      </c>
      <c r="E13" s="3">
        <v>10</v>
      </c>
      <c r="F13" s="3" t="s">
        <v>118</v>
      </c>
      <c r="G13" s="3" t="s">
        <v>119</v>
      </c>
      <c r="H13" s="3" t="s">
        <v>73</v>
      </c>
      <c r="I13" s="3" t="s">
        <v>74</v>
      </c>
      <c r="J13" s="6">
        <v>0</v>
      </c>
      <c r="K13" s="3" t="s">
        <v>120</v>
      </c>
      <c r="L13" s="3" t="s">
        <v>121</v>
      </c>
    </row>
    <row r="14" spans="1:12" ht="28">
      <c r="A14" s="3" t="s">
        <v>122</v>
      </c>
      <c r="B14" s="3" t="s">
        <v>123</v>
      </c>
      <c r="C14" s="4">
        <v>46734</v>
      </c>
      <c r="D14" s="4">
        <v>46794</v>
      </c>
      <c r="E14" s="3">
        <v>9</v>
      </c>
      <c r="F14" s="3" t="s">
        <v>124</v>
      </c>
      <c r="G14" s="3" t="s">
        <v>125</v>
      </c>
      <c r="H14" s="3" t="s">
        <v>126</v>
      </c>
      <c r="I14" s="3" t="s">
        <v>74</v>
      </c>
      <c r="J14" s="6">
        <v>0</v>
      </c>
      <c r="K14" s="3" t="s">
        <v>127</v>
      </c>
      <c r="L14" s="3" t="s">
        <v>128</v>
      </c>
    </row>
    <row r="15" spans="1:12" ht="28">
      <c r="A15" s="3" t="s">
        <v>129</v>
      </c>
      <c r="B15" s="3" t="s">
        <v>130</v>
      </c>
      <c r="C15" s="4">
        <v>46769</v>
      </c>
      <c r="D15" s="4">
        <v>46829</v>
      </c>
      <c r="E15" s="3">
        <v>9</v>
      </c>
      <c r="F15" s="3" t="s">
        <v>131</v>
      </c>
      <c r="G15" s="3" t="s">
        <v>132</v>
      </c>
      <c r="H15" s="3" t="s">
        <v>73</v>
      </c>
      <c r="I15" s="3" t="s">
        <v>74</v>
      </c>
      <c r="J15" s="6">
        <v>0</v>
      </c>
      <c r="K15" s="3" t="s">
        <v>133</v>
      </c>
      <c r="L15" s="3" t="s">
        <v>134</v>
      </c>
    </row>
    <row r="16" spans="1:12" ht="28">
      <c r="A16" s="3" t="s">
        <v>135</v>
      </c>
      <c r="B16" s="3" t="s">
        <v>136</v>
      </c>
      <c r="C16" s="4">
        <v>46813</v>
      </c>
      <c r="D16" s="4">
        <v>46857</v>
      </c>
      <c r="E16" s="3">
        <v>7</v>
      </c>
      <c r="F16" s="3" t="s">
        <v>137</v>
      </c>
      <c r="G16" s="3" t="s">
        <v>138</v>
      </c>
      <c r="H16" s="3" t="s">
        <v>126</v>
      </c>
      <c r="I16" s="3" t="s">
        <v>74</v>
      </c>
      <c r="J16" s="6">
        <v>0</v>
      </c>
      <c r="K16" s="3" t="s">
        <v>139</v>
      </c>
      <c r="L16" s="3" t="s">
        <v>140</v>
      </c>
    </row>
  </sheetData>
  <mergeCells count="1">
    <mergeCell ref="A1:L1"/>
  </mergeCells>
  <conditionalFormatting sqref="I4:I16">
    <cfRule type="expression" dxfId="6" priority="1">
      <formula>I4="Done"</formula>
    </cfRule>
    <cfRule type="expression" dxfId="5" priority="2">
      <formula>I4="At Risk"</formula>
    </cfRule>
    <cfRule type="expression" dxfId="4" priority="3">
      <formula>I4="Blocked"</formula>
    </cfRule>
  </conditionalFormatting>
  <dataValidations count="1">
    <dataValidation type="list" sqref="I4:I16" xr:uid="{00000000-0002-0000-0100-000000000000}">
      <formula1>"Not Started,In Progress,Blocked,At Risk,Done"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topLeftCell="B1" workbookViewId="0">
      <selection sqref="A1:Q1"/>
    </sheetView>
  </sheetViews>
  <sheetFormatPr defaultRowHeight="14"/>
  <cols>
    <col min="1" max="1" width="9" customWidth="1"/>
    <col min="2" max="2" width="8" customWidth="1"/>
    <col min="3" max="3" width="17" customWidth="1"/>
    <col min="4" max="4" width="47" customWidth="1"/>
    <col min="5" max="6" width="12" customWidth="1"/>
    <col min="7" max="7" width="8" customWidth="1"/>
    <col min="8" max="8" width="24" customWidth="1"/>
    <col min="9" max="9" width="12" customWidth="1"/>
    <col min="10" max="10" width="15" customWidth="1"/>
    <col min="11" max="11" width="11" customWidth="1"/>
    <col min="12" max="13" width="18" customWidth="1"/>
    <col min="14" max="14" width="42" customWidth="1"/>
    <col min="15" max="15" width="12" customWidth="1"/>
    <col min="16" max="16" width="38" customWidth="1"/>
    <col min="17" max="17" width="12" customWidth="1"/>
  </cols>
  <sheetData>
    <row r="1" spans="1:17" ht="20">
      <c r="A1" s="11" t="s">
        <v>141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3" spans="1:17">
      <c r="A3" s="1" t="s">
        <v>142</v>
      </c>
      <c r="B3" s="1" t="s">
        <v>50</v>
      </c>
      <c r="C3" s="1" t="s">
        <v>143</v>
      </c>
      <c r="D3" s="1" t="s">
        <v>144</v>
      </c>
      <c r="E3" s="1" t="s">
        <v>52</v>
      </c>
      <c r="F3" s="1" t="s">
        <v>53</v>
      </c>
      <c r="G3" s="1" t="s">
        <v>145</v>
      </c>
      <c r="H3" s="1" t="s">
        <v>57</v>
      </c>
      <c r="I3" s="1" t="s">
        <v>146</v>
      </c>
      <c r="J3" s="1" t="s">
        <v>58</v>
      </c>
      <c r="K3" s="1" t="s">
        <v>59</v>
      </c>
      <c r="L3" s="1" t="s">
        <v>147</v>
      </c>
      <c r="M3" s="1" t="s">
        <v>148</v>
      </c>
      <c r="N3" s="1" t="s">
        <v>149</v>
      </c>
      <c r="O3" s="1" t="s">
        <v>150</v>
      </c>
      <c r="P3" s="1" t="s">
        <v>6</v>
      </c>
      <c r="Q3" s="1" t="s">
        <v>151</v>
      </c>
    </row>
    <row r="4" spans="1:17" ht="28">
      <c r="A4" s="3" t="s">
        <v>152</v>
      </c>
      <c r="B4" s="3" t="s">
        <v>61</v>
      </c>
      <c r="C4" s="3" t="s">
        <v>153</v>
      </c>
      <c r="D4" s="3" t="s">
        <v>154</v>
      </c>
      <c r="E4" s="4">
        <v>46286</v>
      </c>
      <c r="F4" s="4">
        <v>46290</v>
      </c>
      <c r="G4" s="3">
        <v>5</v>
      </c>
      <c r="H4" s="3" t="s">
        <v>65</v>
      </c>
      <c r="I4" s="3" t="s">
        <v>155</v>
      </c>
      <c r="J4" s="3" t="s">
        <v>156</v>
      </c>
      <c r="K4" s="6">
        <v>1</v>
      </c>
      <c r="L4" s="3"/>
      <c r="M4" s="3" t="s">
        <v>64</v>
      </c>
      <c r="N4" s="3" t="s">
        <v>157</v>
      </c>
      <c r="O4" s="3"/>
      <c r="P4" s="3"/>
      <c r="Q4" s="4">
        <v>46284</v>
      </c>
    </row>
    <row r="5" spans="1:17" ht="28">
      <c r="A5" s="3" t="s">
        <v>158</v>
      </c>
      <c r="B5" s="3" t="s">
        <v>61</v>
      </c>
      <c r="C5" s="3" t="s">
        <v>153</v>
      </c>
      <c r="D5" s="3" t="s">
        <v>159</v>
      </c>
      <c r="E5" s="4">
        <v>46293</v>
      </c>
      <c r="F5" s="4">
        <v>46297</v>
      </c>
      <c r="G5" s="3">
        <v>5</v>
      </c>
      <c r="H5" s="3" t="s">
        <v>65</v>
      </c>
      <c r="I5" s="3" t="s">
        <v>155</v>
      </c>
      <c r="J5" s="3" t="s">
        <v>156</v>
      </c>
      <c r="K5" s="6">
        <v>1</v>
      </c>
      <c r="L5" s="3" t="s">
        <v>152</v>
      </c>
      <c r="M5" s="3" t="s">
        <v>64</v>
      </c>
      <c r="N5" s="3" t="s">
        <v>160</v>
      </c>
      <c r="O5" s="3"/>
      <c r="P5" s="3"/>
      <c r="Q5" s="4">
        <v>46284</v>
      </c>
    </row>
    <row r="6" spans="1:17" ht="28">
      <c r="A6" s="3" t="s">
        <v>161</v>
      </c>
      <c r="B6" s="3" t="s">
        <v>61</v>
      </c>
      <c r="C6" s="3" t="s">
        <v>162</v>
      </c>
      <c r="D6" s="3" t="s">
        <v>163</v>
      </c>
      <c r="E6" s="4">
        <v>46300</v>
      </c>
      <c r="F6" s="4">
        <v>46304</v>
      </c>
      <c r="G6" s="3">
        <v>5</v>
      </c>
      <c r="H6" s="3" t="s">
        <v>65</v>
      </c>
      <c r="I6" s="3" t="s">
        <v>164</v>
      </c>
      <c r="J6" s="3" t="s">
        <v>156</v>
      </c>
      <c r="K6" s="6">
        <v>1</v>
      </c>
      <c r="L6" s="3" t="s">
        <v>158</v>
      </c>
      <c r="M6" s="3" t="s">
        <v>64</v>
      </c>
      <c r="N6" s="3" t="s">
        <v>165</v>
      </c>
      <c r="O6" s="3"/>
      <c r="P6" s="3"/>
      <c r="Q6" s="4">
        <v>46284</v>
      </c>
    </row>
    <row r="7" spans="1:17" ht="28">
      <c r="A7" s="3" t="s">
        <v>166</v>
      </c>
      <c r="B7" s="3" t="s">
        <v>61</v>
      </c>
      <c r="C7" s="3" t="s">
        <v>167</v>
      </c>
      <c r="D7" s="3" t="s">
        <v>168</v>
      </c>
      <c r="E7" s="4">
        <v>46307</v>
      </c>
      <c r="F7" s="4">
        <v>46311</v>
      </c>
      <c r="G7" s="3">
        <v>5</v>
      </c>
      <c r="H7" s="3" t="s">
        <v>73</v>
      </c>
      <c r="I7" s="3" t="s">
        <v>164</v>
      </c>
      <c r="J7" s="3" t="s">
        <v>74</v>
      </c>
      <c r="K7" s="6">
        <v>0</v>
      </c>
      <c r="L7" s="3" t="s">
        <v>161</v>
      </c>
      <c r="M7" s="3" t="s">
        <v>72</v>
      </c>
      <c r="N7" s="3" t="s">
        <v>169</v>
      </c>
      <c r="O7" s="3"/>
      <c r="P7" s="3"/>
      <c r="Q7" s="4">
        <v>46284</v>
      </c>
    </row>
    <row r="8" spans="1:17" ht="28">
      <c r="A8" s="3" t="s">
        <v>170</v>
      </c>
      <c r="B8" s="3" t="s">
        <v>69</v>
      </c>
      <c r="C8" s="3" t="s">
        <v>171</v>
      </c>
      <c r="D8" s="3" t="s">
        <v>172</v>
      </c>
      <c r="E8" s="4">
        <v>46314</v>
      </c>
      <c r="F8" s="4">
        <v>46318</v>
      </c>
      <c r="G8" s="3">
        <v>5</v>
      </c>
      <c r="H8" s="3" t="s">
        <v>73</v>
      </c>
      <c r="I8" s="3" t="s">
        <v>155</v>
      </c>
      <c r="J8" s="3" t="s">
        <v>74</v>
      </c>
      <c r="K8" s="6">
        <v>0</v>
      </c>
      <c r="L8" s="3" t="s">
        <v>166</v>
      </c>
      <c r="M8" s="3" t="s">
        <v>72</v>
      </c>
      <c r="N8" s="3" t="s">
        <v>173</v>
      </c>
      <c r="O8" s="3"/>
      <c r="P8" s="3"/>
      <c r="Q8" s="4">
        <v>46284</v>
      </c>
    </row>
    <row r="9" spans="1:17">
      <c r="A9" s="3" t="s">
        <v>174</v>
      </c>
      <c r="B9" s="3" t="s">
        <v>69</v>
      </c>
      <c r="C9" s="3" t="s">
        <v>171</v>
      </c>
      <c r="D9" s="3" t="s">
        <v>175</v>
      </c>
      <c r="E9" s="4">
        <v>46314</v>
      </c>
      <c r="F9" s="4">
        <v>46325</v>
      </c>
      <c r="G9" s="3">
        <v>12</v>
      </c>
      <c r="H9" s="3" t="s">
        <v>73</v>
      </c>
      <c r="I9" s="3" t="s">
        <v>164</v>
      </c>
      <c r="J9" s="3" t="s">
        <v>74</v>
      </c>
      <c r="K9" s="6">
        <v>0</v>
      </c>
      <c r="L9" s="3" t="s">
        <v>166</v>
      </c>
      <c r="M9" s="3" t="s">
        <v>72</v>
      </c>
      <c r="N9" s="3" t="s">
        <v>176</v>
      </c>
      <c r="O9" s="3"/>
      <c r="P9" s="3"/>
      <c r="Q9" s="4">
        <v>46284</v>
      </c>
    </row>
    <row r="10" spans="1:17" ht="28">
      <c r="A10" s="3" t="s">
        <v>177</v>
      </c>
      <c r="B10" s="3" t="s">
        <v>69</v>
      </c>
      <c r="C10" s="3" t="s">
        <v>178</v>
      </c>
      <c r="D10" s="3" t="s">
        <v>179</v>
      </c>
      <c r="E10" s="4">
        <v>46321</v>
      </c>
      <c r="F10" s="4">
        <v>46332</v>
      </c>
      <c r="G10" s="3">
        <v>12</v>
      </c>
      <c r="H10" s="3" t="s">
        <v>73</v>
      </c>
      <c r="I10" s="3" t="s">
        <v>155</v>
      </c>
      <c r="J10" s="3" t="s">
        <v>74</v>
      </c>
      <c r="K10" s="6">
        <v>0</v>
      </c>
      <c r="L10" s="3" t="s">
        <v>170</v>
      </c>
      <c r="M10" s="3" t="s">
        <v>72</v>
      </c>
      <c r="N10" s="3" t="s">
        <v>180</v>
      </c>
      <c r="O10" s="3"/>
      <c r="P10" s="3"/>
      <c r="Q10" s="4">
        <v>46284</v>
      </c>
    </row>
    <row r="11" spans="1:17">
      <c r="A11" s="3" t="s">
        <v>181</v>
      </c>
      <c r="B11" s="3" t="s">
        <v>69</v>
      </c>
      <c r="C11" s="3" t="s">
        <v>178</v>
      </c>
      <c r="D11" s="3" t="s">
        <v>182</v>
      </c>
      <c r="E11" s="4">
        <v>46328</v>
      </c>
      <c r="F11" s="4">
        <v>46339</v>
      </c>
      <c r="G11" s="3">
        <v>12</v>
      </c>
      <c r="H11" s="3" t="s">
        <v>73</v>
      </c>
      <c r="I11" s="3" t="s">
        <v>155</v>
      </c>
      <c r="J11" s="3" t="s">
        <v>74</v>
      </c>
      <c r="K11" s="6">
        <v>0</v>
      </c>
      <c r="L11" s="3" t="s">
        <v>177</v>
      </c>
      <c r="M11" s="3" t="s">
        <v>72</v>
      </c>
      <c r="N11" s="3" t="s">
        <v>183</v>
      </c>
      <c r="O11" s="3"/>
      <c r="P11" s="3"/>
      <c r="Q11" s="4">
        <v>46284</v>
      </c>
    </row>
    <row r="12" spans="1:17" ht="28">
      <c r="A12" s="3" t="s">
        <v>184</v>
      </c>
      <c r="B12" s="3" t="s">
        <v>69</v>
      </c>
      <c r="C12" s="3" t="s">
        <v>185</v>
      </c>
      <c r="D12" s="3" t="s">
        <v>186</v>
      </c>
      <c r="E12" s="4">
        <v>46335</v>
      </c>
      <c r="F12" s="4">
        <v>46346</v>
      </c>
      <c r="G12" s="3">
        <v>12</v>
      </c>
      <c r="H12" s="3" t="s">
        <v>73</v>
      </c>
      <c r="I12" s="3" t="s">
        <v>155</v>
      </c>
      <c r="J12" s="3" t="s">
        <v>74</v>
      </c>
      <c r="K12" s="6">
        <v>0</v>
      </c>
      <c r="L12" s="3" t="s">
        <v>177</v>
      </c>
      <c r="M12" s="3" t="s">
        <v>72</v>
      </c>
      <c r="N12" s="3" t="s">
        <v>187</v>
      </c>
      <c r="O12" s="3"/>
      <c r="P12" s="3"/>
      <c r="Q12" s="4">
        <v>46284</v>
      </c>
    </row>
    <row r="13" spans="1:17" ht="28">
      <c r="A13" s="3" t="s">
        <v>188</v>
      </c>
      <c r="B13" s="3" t="s">
        <v>69</v>
      </c>
      <c r="C13" s="3" t="s">
        <v>189</v>
      </c>
      <c r="D13" s="3" t="s">
        <v>190</v>
      </c>
      <c r="E13" s="4">
        <v>46342</v>
      </c>
      <c r="F13" s="4">
        <v>46353</v>
      </c>
      <c r="G13" s="3">
        <v>12</v>
      </c>
      <c r="H13" s="3" t="s">
        <v>73</v>
      </c>
      <c r="I13" s="3" t="s">
        <v>164</v>
      </c>
      <c r="J13" s="3" t="s">
        <v>74</v>
      </c>
      <c r="K13" s="6">
        <v>0</v>
      </c>
      <c r="L13" s="3" t="s">
        <v>184</v>
      </c>
      <c r="M13" s="3" t="s">
        <v>72</v>
      </c>
      <c r="N13" s="3" t="s">
        <v>191</v>
      </c>
      <c r="O13" s="3"/>
      <c r="P13" s="3"/>
      <c r="Q13" s="4">
        <v>46284</v>
      </c>
    </row>
    <row r="14" spans="1:17">
      <c r="A14" s="3" t="s">
        <v>192</v>
      </c>
      <c r="B14" s="3" t="s">
        <v>69</v>
      </c>
      <c r="C14" s="3" t="s">
        <v>189</v>
      </c>
      <c r="D14" s="3" t="s">
        <v>193</v>
      </c>
      <c r="E14" s="4">
        <v>46349</v>
      </c>
      <c r="F14" s="4">
        <v>46360</v>
      </c>
      <c r="G14" s="3">
        <v>12</v>
      </c>
      <c r="H14" s="3" t="s">
        <v>73</v>
      </c>
      <c r="I14" s="3" t="s">
        <v>164</v>
      </c>
      <c r="J14" s="3" t="s">
        <v>74</v>
      </c>
      <c r="K14" s="6">
        <v>0</v>
      </c>
      <c r="L14" s="3" t="s">
        <v>184</v>
      </c>
      <c r="M14" s="3" t="s">
        <v>72</v>
      </c>
      <c r="N14" s="3" t="s">
        <v>194</v>
      </c>
      <c r="O14" s="3"/>
      <c r="P14" s="3"/>
      <c r="Q14" s="4">
        <v>46284</v>
      </c>
    </row>
    <row r="15" spans="1:17" ht="28">
      <c r="A15" s="3" t="s">
        <v>195</v>
      </c>
      <c r="B15" s="3" t="s">
        <v>69</v>
      </c>
      <c r="C15" s="3" t="s">
        <v>196</v>
      </c>
      <c r="D15" s="3" t="s">
        <v>197</v>
      </c>
      <c r="E15" s="4">
        <v>46356</v>
      </c>
      <c r="F15" s="4">
        <v>46367</v>
      </c>
      <c r="G15" s="3">
        <v>12</v>
      </c>
      <c r="H15" s="3" t="s">
        <v>73</v>
      </c>
      <c r="I15" s="3" t="s">
        <v>155</v>
      </c>
      <c r="J15" s="3" t="s">
        <v>74</v>
      </c>
      <c r="K15" s="6">
        <v>0</v>
      </c>
      <c r="L15" s="3" t="s">
        <v>198</v>
      </c>
      <c r="M15" s="3" t="s">
        <v>72</v>
      </c>
      <c r="N15" s="3" t="s">
        <v>199</v>
      </c>
      <c r="O15" s="3"/>
      <c r="P15" s="3"/>
      <c r="Q15" s="4">
        <v>46284</v>
      </c>
    </row>
    <row r="16" spans="1:17">
      <c r="A16" s="3" t="s">
        <v>200</v>
      </c>
      <c r="B16" s="3" t="s">
        <v>76</v>
      </c>
      <c r="C16" s="3" t="s">
        <v>201</v>
      </c>
      <c r="D16" s="3" t="s">
        <v>202</v>
      </c>
      <c r="E16" s="4">
        <v>46370</v>
      </c>
      <c r="F16" s="4">
        <v>46380</v>
      </c>
      <c r="G16" s="3">
        <v>11</v>
      </c>
      <c r="H16" s="3" t="s">
        <v>73</v>
      </c>
      <c r="I16" s="3" t="s">
        <v>155</v>
      </c>
      <c r="J16" s="3" t="s">
        <v>74</v>
      </c>
      <c r="K16" s="6">
        <v>0</v>
      </c>
      <c r="L16" s="3" t="s">
        <v>195</v>
      </c>
      <c r="M16" s="3" t="s">
        <v>79</v>
      </c>
      <c r="N16" s="3" t="s">
        <v>203</v>
      </c>
      <c r="O16" s="3"/>
      <c r="P16" s="3"/>
      <c r="Q16" s="4">
        <v>46284</v>
      </c>
    </row>
    <row r="17" spans="1:17">
      <c r="A17" s="3" t="s">
        <v>204</v>
      </c>
      <c r="B17" s="3" t="s">
        <v>76</v>
      </c>
      <c r="C17" s="3" t="s">
        <v>205</v>
      </c>
      <c r="D17" s="3" t="s">
        <v>206</v>
      </c>
      <c r="E17" s="4">
        <v>46377</v>
      </c>
      <c r="F17" s="4">
        <v>46395</v>
      </c>
      <c r="G17" s="3">
        <v>19</v>
      </c>
      <c r="H17" s="3" t="s">
        <v>73</v>
      </c>
      <c r="I17" s="3" t="s">
        <v>155</v>
      </c>
      <c r="J17" s="3" t="s">
        <v>74</v>
      </c>
      <c r="K17" s="6">
        <v>0</v>
      </c>
      <c r="L17" s="3" t="s">
        <v>200</v>
      </c>
      <c r="M17" s="3" t="s">
        <v>79</v>
      </c>
      <c r="N17" s="3" t="s">
        <v>207</v>
      </c>
      <c r="O17" s="3"/>
      <c r="P17" s="3"/>
      <c r="Q17" s="4">
        <v>46284</v>
      </c>
    </row>
    <row r="18" spans="1:17">
      <c r="A18" s="3" t="s">
        <v>208</v>
      </c>
      <c r="B18" s="3" t="s">
        <v>76</v>
      </c>
      <c r="C18" s="3" t="s">
        <v>209</v>
      </c>
      <c r="D18" s="3" t="s">
        <v>210</v>
      </c>
      <c r="E18" s="4">
        <v>46384</v>
      </c>
      <c r="F18" s="4">
        <v>46402</v>
      </c>
      <c r="G18" s="3">
        <v>19</v>
      </c>
      <c r="H18" s="3" t="s">
        <v>73</v>
      </c>
      <c r="I18" s="3" t="s">
        <v>155</v>
      </c>
      <c r="J18" s="3" t="s">
        <v>74</v>
      </c>
      <c r="K18" s="6">
        <v>0</v>
      </c>
      <c r="L18" s="3" t="s">
        <v>200</v>
      </c>
      <c r="M18" s="3" t="s">
        <v>79</v>
      </c>
      <c r="N18" s="3" t="s">
        <v>211</v>
      </c>
      <c r="O18" s="3"/>
      <c r="P18" s="3"/>
      <c r="Q18" s="4">
        <v>46284</v>
      </c>
    </row>
    <row r="19" spans="1:17" ht="28">
      <c r="A19" s="3" t="s">
        <v>212</v>
      </c>
      <c r="B19" s="3" t="s">
        <v>76</v>
      </c>
      <c r="C19" s="3" t="s">
        <v>209</v>
      </c>
      <c r="D19" s="3" t="s">
        <v>213</v>
      </c>
      <c r="E19" s="4">
        <v>46391</v>
      </c>
      <c r="F19" s="4">
        <v>46409</v>
      </c>
      <c r="G19" s="3">
        <v>19</v>
      </c>
      <c r="H19" s="3" t="s">
        <v>73</v>
      </c>
      <c r="I19" s="3" t="s">
        <v>155</v>
      </c>
      <c r="J19" s="3" t="s">
        <v>74</v>
      </c>
      <c r="K19" s="6">
        <v>0</v>
      </c>
      <c r="L19" s="3" t="s">
        <v>208</v>
      </c>
      <c r="M19" s="3" t="s">
        <v>79</v>
      </c>
      <c r="N19" s="3" t="s">
        <v>214</v>
      </c>
      <c r="O19" s="3"/>
      <c r="P19" s="3"/>
      <c r="Q19" s="4">
        <v>46284</v>
      </c>
    </row>
    <row r="20" spans="1:17" ht="28">
      <c r="A20" s="3" t="s">
        <v>215</v>
      </c>
      <c r="B20" s="3" t="s">
        <v>76</v>
      </c>
      <c r="C20" s="3" t="s">
        <v>209</v>
      </c>
      <c r="D20" s="3" t="s">
        <v>216</v>
      </c>
      <c r="E20" s="4">
        <v>46398</v>
      </c>
      <c r="F20" s="4">
        <v>46416</v>
      </c>
      <c r="G20" s="3">
        <v>19</v>
      </c>
      <c r="H20" s="3" t="s">
        <v>73</v>
      </c>
      <c r="I20" s="3" t="s">
        <v>155</v>
      </c>
      <c r="J20" s="3" t="s">
        <v>74</v>
      </c>
      <c r="K20" s="6">
        <v>0</v>
      </c>
      <c r="L20" s="3" t="s">
        <v>212</v>
      </c>
      <c r="M20" s="3" t="s">
        <v>79</v>
      </c>
      <c r="N20" s="3" t="s">
        <v>217</v>
      </c>
      <c r="O20" s="3"/>
      <c r="P20" s="3"/>
      <c r="Q20" s="4">
        <v>46284</v>
      </c>
    </row>
    <row r="21" spans="1:17">
      <c r="A21" s="3" t="s">
        <v>218</v>
      </c>
      <c r="B21" s="3" t="s">
        <v>76</v>
      </c>
      <c r="C21" s="3" t="s">
        <v>219</v>
      </c>
      <c r="D21" s="3" t="s">
        <v>220</v>
      </c>
      <c r="E21" s="4">
        <v>46405</v>
      </c>
      <c r="F21" s="4">
        <v>46423</v>
      </c>
      <c r="G21" s="3">
        <v>19</v>
      </c>
      <c r="H21" s="3" t="s">
        <v>73</v>
      </c>
      <c r="I21" s="3" t="s">
        <v>164</v>
      </c>
      <c r="J21" s="3" t="s">
        <v>74</v>
      </c>
      <c r="K21" s="6">
        <v>0</v>
      </c>
      <c r="L21" s="3" t="s">
        <v>200</v>
      </c>
      <c r="M21" s="3" t="s">
        <v>79</v>
      </c>
      <c r="N21" s="3" t="s">
        <v>221</v>
      </c>
      <c r="O21" s="3"/>
      <c r="P21" s="3"/>
      <c r="Q21" s="4">
        <v>46284</v>
      </c>
    </row>
    <row r="22" spans="1:17">
      <c r="A22" s="3" t="s">
        <v>222</v>
      </c>
      <c r="B22" s="3" t="s">
        <v>76</v>
      </c>
      <c r="C22" s="3" t="s">
        <v>223</v>
      </c>
      <c r="D22" s="3" t="s">
        <v>224</v>
      </c>
      <c r="E22" s="4">
        <v>46412</v>
      </c>
      <c r="F22" s="4">
        <v>46423</v>
      </c>
      <c r="G22" s="3">
        <v>12</v>
      </c>
      <c r="H22" s="3" t="s">
        <v>73</v>
      </c>
      <c r="I22" s="3" t="s">
        <v>155</v>
      </c>
      <c r="J22" s="3" t="s">
        <v>74</v>
      </c>
      <c r="K22" s="6">
        <v>0</v>
      </c>
      <c r="L22" s="3" t="s">
        <v>218</v>
      </c>
      <c r="M22" s="3" t="s">
        <v>79</v>
      </c>
      <c r="N22" s="3" t="s">
        <v>225</v>
      </c>
      <c r="O22" s="3"/>
      <c r="P22" s="3"/>
      <c r="Q22" s="4">
        <v>46284</v>
      </c>
    </row>
    <row r="23" spans="1:17">
      <c r="A23" s="3" t="s">
        <v>226</v>
      </c>
      <c r="B23" s="3" t="s">
        <v>76</v>
      </c>
      <c r="C23" s="3" t="s">
        <v>227</v>
      </c>
      <c r="D23" s="3" t="s">
        <v>228</v>
      </c>
      <c r="E23" s="4">
        <v>46419</v>
      </c>
      <c r="F23" s="4">
        <v>46430</v>
      </c>
      <c r="G23" s="3">
        <v>12</v>
      </c>
      <c r="H23" s="3" t="s">
        <v>73</v>
      </c>
      <c r="I23" s="3" t="s">
        <v>155</v>
      </c>
      <c r="J23" s="3" t="s">
        <v>74</v>
      </c>
      <c r="K23" s="6">
        <v>0</v>
      </c>
      <c r="L23" s="3" t="s">
        <v>218</v>
      </c>
      <c r="M23" s="3" t="s">
        <v>79</v>
      </c>
      <c r="N23" s="3" t="s">
        <v>229</v>
      </c>
      <c r="O23" s="3"/>
      <c r="P23" s="3"/>
      <c r="Q23" s="4">
        <v>46284</v>
      </c>
    </row>
    <row r="24" spans="1:17">
      <c r="A24" s="3" t="s">
        <v>230</v>
      </c>
      <c r="B24" s="3" t="s">
        <v>76</v>
      </c>
      <c r="C24" s="3" t="s">
        <v>227</v>
      </c>
      <c r="D24" s="3" t="s">
        <v>231</v>
      </c>
      <c r="E24" s="4">
        <v>46419</v>
      </c>
      <c r="F24" s="4">
        <v>46430</v>
      </c>
      <c r="G24" s="3">
        <v>12</v>
      </c>
      <c r="H24" s="3" t="s">
        <v>73</v>
      </c>
      <c r="I24" s="3" t="s">
        <v>155</v>
      </c>
      <c r="J24" s="3" t="s">
        <v>74</v>
      </c>
      <c r="K24" s="6">
        <v>0</v>
      </c>
      <c r="L24" s="3" t="s">
        <v>222</v>
      </c>
      <c r="M24" s="3" t="s">
        <v>79</v>
      </c>
      <c r="N24" s="3" t="s">
        <v>232</v>
      </c>
      <c r="O24" s="3"/>
      <c r="P24" s="3"/>
      <c r="Q24" s="4">
        <v>46284</v>
      </c>
    </row>
    <row r="25" spans="1:17">
      <c r="A25" s="3" t="s">
        <v>233</v>
      </c>
      <c r="B25" s="3" t="s">
        <v>81</v>
      </c>
      <c r="C25" s="3" t="s">
        <v>234</v>
      </c>
      <c r="D25" s="3" t="s">
        <v>235</v>
      </c>
      <c r="E25" s="4">
        <v>46433</v>
      </c>
      <c r="F25" s="4">
        <v>46444</v>
      </c>
      <c r="G25" s="3">
        <v>12</v>
      </c>
      <c r="H25" s="3" t="s">
        <v>73</v>
      </c>
      <c r="I25" s="3" t="s">
        <v>155</v>
      </c>
      <c r="J25" s="3" t="s">
        <v>74</v>
      </c>
      <c r="K25" s="6">
        <v>0</v>
      </c>
      <c r="L25" s="3" t="s">
        <v>236</v>
      </c>
      <c r="M25" s="3" t="s">
        <v>84</v>
      </c>
      <c r="N25" s="3" t="s">
        <v>237</v>
      </c>
      <c r="O25" s="3"/>
      <c r="P25" s="3"/>
      <c r="Q25" s="4">
        <v>46284</v>
      </c>
    </row>
    <row r="26" spans="1:17">
      <c r="A26" s="3" t="s">
        <v>238</v>
      </c>
      <c r="B26" s="3" t="s">
        <v>81</v>
      </c>
      <c r="C26" s="3" t="s">
        <v>239</v>
      </c>
      <c r="D26" s="3" t="s">
        <v>240</v>
      </c>
      <c r="E26" s="4">
        <v>46440</v>
      </c>
      <c r="F26" s="4">
        <v>46451</v>
      </c>
      <c r="G26" s="3">
        <v>12</v>
      </c>
      <c r="H26" s="3" t="s">
        <v>73</v>
      </c>
      <c r="I26" s="3" t="s">
        <v>155</v>
      </c>
      <c r="J26" s="3" t="s">
        <v>74</v>
      </c>
      <c r="K26" s="6">
        <v>0</v>
      </c>
      <c r="L26" s="3" t="s">
        <v>233</v>
      </c>
      <c r="M26" s="3" t="s">
        <v>84</v>
      </c>
      <c r="N26" s="3" t="s">
        <v>241</v>
      </c>
      <c r="O26" s="3"/>
      <c r="P26" s="3"/>
      <c r="Q26" s="4">
        <v>46284</v>
      </c>
    </row>
    <row r="27" spans="1:17">
      <c r="A27" s="3" t="s">
        <v>242</v>
      </c>
      <c r="B27" s="3" t="s">
        <v>81</v>
      </c>
      <c r="C27" s="3" t="s">
        <v>234</v>
      </c>
      <c r="D27" s="3" t="s">
        <v>243</v>
      </c>
      <c r="E27" s="4">
        <v>46447</v>
      </c>
      <c r="F27" s="4">
        <v>46458</v>
      </c>
      <c r="G27" s="3">
        <v>12</v>
      </c>
      <c r="H27" s="3" t="s">
        <v>73</v>
      </c>
      <c r="I27" s="3" t="s">
        <v>164</v>
      </c>
      <c r="J27" s="3" t="s">
        <v>74</v>
      </c>
      <c r="K27" s="6">
        <v>0</v>
      </c>
      <c r="L27" s="3" t="s">
        <v>233</v>
      </c>
      <c r="M27" s="3" t="s">
        <v>84</v>
      </c>
      <c r="N27" s="3" t="s">
        <v>244</v>
      </c>
      <c r="O27" s="3"/>
      <c r="P27" s="3"/>
      <c r="Q27" s="4">
        <v>46284</v>
      </c>
    </row>
    <row r="28" spans="1:17">
      <c r="A28" s="3" t="s">
        <v>245</v>
      </c>
      <c r="B28" s="3" t="s">
        <v>81</v>
      </c>
      <c r="C28" s="3" t="s">
        <v>246</v>
      </c>
      <c r="D28" s="3" t="s">
        <v>247</v>
      </c>
      <c r="E28" s="4">
        <v>46454</v>
      </c>
      <c r="F28" s="4">
        <v>46472</v>
      </c>
      <c r="G28" s="3">
        <v>19</v>
      </c>
      <c r="H28" s="3" t="s">
        <v>73</v>
      </c>
      <c r="I28" s="3" t="s">
        <v>164</v>
      </c>
      <c r="J28" s="3" t="s">
        <v>74</v>
      </c>
      <c r="K28" s="6">
        <v>0</v>
      </c>
      <c r="L28" s="3" t="s">
        <v>238</v>
      </c>
      <c r="M28" s="3" t="s">
        <v>84</v>
      </c>
      <c r="N28" s="3" t="s">
        <v>248</v>
      </c>
      <c r="O28" s="3"/>
      <c r="P28" s="3"/>
      <c r="Q28" s="4">
        <v>46284</v>
      </c>
    </row>
    <row r="29" spans="1:17">
      <c r="A29" s="3" t="s">
        <v>249</v>
      </c>
      <c r="B29" s="3" t="s">
        <v>81</v>
      </c>
      <c r="C29" s="3" t="s">
        <v>246</v>
      </c>
      <c r="D29" s="3" t="s">
        <v>250</v>
      </c>
      <c r="E29" s="4">
        <v>46461</v>
      </c>
      <c r="F29" s="4">
        <v>46479</v>
      </c>
      <c r="G29" s="3">
        <v>19</v>
      </c>
      <c r="H29" s="3" t="s">
        <v>73</v>
      </c>
      <c r="I29" s="3" t="s">
        <v>164</v>
      </c>
      <c r="J29" s="3" t="s">
        <v>74</v>
      </c>
      <c r="K29" s="6">
        <v>0</v>
      </c>
      <c r="L29" s="3" t="s">
        <v>245</v>
      </c>
      <c r="M29" s="3" t="s">
        <v>84</v>
      </c>
      <c r="N29" s="3" t="s">
        <v>251</v>
      </c>
      <c r="O29" s="3"/>
      <c r="P29" s="3"/>
      <c r="Q29" s="4">
        <v>46284</v>
      </c>
    </row>
    <row r="30" spans="1:17">
      <c r="A30" s="3" t="s">
        <v>252</v>
      </c>
      <c r="B30" s="3" t="s">
        <v>81</v>
      </c>
      <c r="C30" s="3" t="s">
        <v>253</v>
      </c>
      <c r="D30" s="3" t="s">
        <v>254</v>
      </c>
      <c r="E30" s="4">
        <v>46468</v>
      </c>
      <c r="F30" s="4">
        <v>46479</v>
      </c>
      <c r="G30" s="3">
        <v>12</v>
      </c>
      <c r="H30" s="3" t="s">
        <v>73</v>
      </c>
      <c r="I30" s="3" t="s">
        <v>155</v>
      </c>
      <c r="J30" s="3" t="s">
        <v>74</v>
      </c>
      <c r="K30" s="6">
        <v>0</v>
      </c>
      <c r="L30" s="3" t="s">
        <v>255</v>
      </c>
      <c r="M30" s="3" t="s">
        <v>84</v>
      </c>
      <c r="N30" s="3" t="s">
        <v>256</v>
      </c>
      <c r="O30" s="3"/>
      <c r="P30" s="3"/>
      <c r="Q30" s="4">
        <v>46284</v>
      </c>
    </row>
    <row r="31" spans="1:17">
      <c r="A31" s="3" t="s">
        <v>257</v>
      </c>
      <c r="B31" s="3" t="s">
        <v>81</v>
      </c>
      <c r="C31" s="3" t="s">
        <v>258</v>
      </c>
      <c r="D31" s="3" t="s">
        <v>259</v>
      </c>
      <c r="E31" s="4">
        <v>46475</v>
      </c>
      <c r="F31" s="4">
        <v>46486</v>
      </c>
      <c r="G31" s="3">
        <v>12</v>
      </c>
      <c r="H31" s="3" t="s">
        <v>73</v>
      </c>
      <c r="I31" s="3" t="s">
        <v>155</v>
      </c>
      <c r="J31" s="3" t="s">
        <v>74</v>
      </c>
      <c r="K31" s="6">
        <v>0</v>
      </c>
      <c r="L31" s="3" t="s">
        <v>252</v>
      </c>
      <c r="M31" s="3" t="s">
        <v>84</v>
      </c>
      <c r="N31" s="3" t="s">
        <v>260</v>
      </c>
      <c r="O31" s="3"/>
      <c r="P31" s="3"/>
      <c r="Q31" s="4">
        <v>46284</v>
      </c>
    </row>
    <row r="32" spans="1:17">
      <c r="A32" s="3" t="s">
        <v>261</v>
      </c>
      <c r="B32" s="3" t="s">
        <v>81</v>
      </c>
      <c r="C32" s="3" t="s">
        <v>262</v>
      </c>
      <c r="D32" s="3" t="s">
        <v>263</v>
      </c>
      <c r="E32" s="4">
        <v>46475</v>
      </c>
      <c r="F32" s="4">
        <v>46486</v>
      </c>
      <c r="G32" s="3">
        <v>12</v>
      </c>
      <c r="H32" s="3" t="s">
        <v>73</v>
      </c>
      <c r="I32" s="3" t="s">
        <v>164</v>
      </c>
      <c r="J32" s="3" t="s">
        <v>74</v>
      </c>
      <c r="K32" s="6">
        <v>0</v>
      </c>
      <c r="L32" s="3" t="s">
        <v>233</v>
      </c>
      <c r="M32" s="3" t="s">
        <v>84</v>
      </c>
      <c r="N32" s="3" t="s">
        <v>264</v>
      </c>
      <c r="O32" s="3"/>
      <c r="P32" s="3"/>
      <c r="Q32" s="4">
        <v>46284</v>
      </c>
    </row>
    <row r="33" spans="1:17">
      <c r="A33" s="3" t="s">
        <v>265</v>
      </c>
      <c r="B33" s="3" t="s">
        <v>86</v>
      </c>
      <c r="C33" s="3" t="s">
        <v>266</v>
      </c>
      <c r="D33" s="3" t="s">
        <v>267</v>
      </c>
      <c r="E33" s="4">
        <v>46468</v>
      </c>
      <c r="F33" s="4">
        <v>46479</v>
      </c>
      <c r="G33" s="3">
        <v>12</v>
      </c>
      <c r="H33" s="3" t="s">
        <v>73</v>
      </c>
      <c r="I33" s="3" t="s">
        <v>155</v>
      </c>
      <c r="J33" s="3" t="s">
        <v>74</v>
      </c>
      <c r="K33" s="6">
        <v>0</v>
      </c>
      <c r="L33" s="3" t="s">
        <v>226</v>
      </c>
      <c r="M33" s="3" t="s">
        <v>89</v>
      </c>
      <c r="N33" s="3" t="s">
        <v>268</v>
      </c>
      <c r="O33" s="3"/>
      <c r="P33" s="3"/>
      <c r="Q33" s="4">
        <v>46284</v>
      </c>
    </row>
    <row r="34" spans="1:17">
      <c r="A34" s="3" t="s">
        <v>269</v>
      </c>
      <c r="B34" s="3" t="s">
        <v>86</v>
      </c>
      <c r="C34" s="3" t="s">
        <v>266</v>
      </c>
      <c r="D34" s="3" t="s">
        <v>270</v>
      </c>
      <c r="E34" s="4">
        <v>46475</v>
      </c>
      <c r="F34" s="4">
        <v>46493</v>
      </c>
      <c r="G34" s="3">
        <v>19</v>
      </c>
      <c r="H34" s="3" t="s">
        <v>73</v>
      </c>
      <c r="I34" s="3" t="s">
        <v>164</v>
      </c>
      <c r="J34" s="3" t="s">
        <v>74</v>
      </c>
      <c r="K34" s="6">
        <v>0</v>
      </c>
      <c r="L34" s="3" t="s">
        <v>265</v>
      </c>
      <c r="M34" s="3" t="s">
        <v>89</v>
      </c>
      <c r="N34" s="3" t="s">
        <v>271</v>
      </c>
      <c r="O34" s="3"/>
      <c r="P34" s="3"/>
      <c r="Q34" s="4">
        <v>46284</v>
      </c>
    </row>
    <row r="35" spans="1:17">
      <c r="A35" s="3" t="s">
        <v>272</v>
      </c>
      <c r="B35" s="3" t="s">
        <v>86</v>
      </c>
      <c r="C35" s="3" t="s">
        <v>266</v>
      </c>
      <c r="D35" s="3" t="s">
        <v>273</v>
      </c>
      <c r="E35" s="4">
        <v>46489</v>
      </c>
      <c r="F35" s="4">
        <v>46500</v>
      </c>
      <c r="G35" s="3">
        <v>12</v>
      </c>
      <c r="H35" s="3" t="s">
        <v>73</v>
      </c>
      <c r="I35" s="3" t="s">
        <v>164</v>
      </c>
      <c r="J35" s="3" t="s">
        <v>74</v>
      </c>
      <c r="K35" s="6">
        <v>0</v>
      </c>
      <c r="L35" s="3" t="s">
        <v>274</v>
      </c>
      <c r="M35" s="3" t="s">
        <v>89</v>
      </c>
      <c r="N35" s="3" t="s">
        <v>275</v>
      </c>
      <c r="O35" s="3"/>
      <c r="P35" s="3"/>
      <c r="Q35" s="4">
        <v>46284</v>
      </c>
    </row>
    <row r="36" spans="1:17">
      <c r="A36" s="3" t="s">
        <v>276</v>
      </c>
      <c r="B36" s="3" t="s">
        <v>86</v>
      </c>
      <c r="C36" s="3" t="s">
        <v>277</v>
      </c>
      <c r="D36" s="3" t="s">
        <v>278</v>
      </c>
      <c r="E36" s="4">
        <v>46468</v>
      </c>
      <c r="F36" s="4">
        <v>46486</v>
      </c>
      <c r="G36" s="3">
        <v>19</v>
      </c>
      <c r="H36" s="3" t="s">
        <v>73</v>
      </c>
      <c r="I36" s="3" t="s">
        <v>155</v>
      </c>
      <c r="J36" s="3" t="s">
        <v>74</v>
      </c>
      <c r="K36" s="6">
        <v>0</v>
      </c>
      <c r="L36" s="3" t="s">
        <v>279</v>
      </c>
      <c r="M36" s="3" t="s">
        <v>89</v>
      </c>
      <c r="N36" s="3" t="s">
        <v>280</v>
      </c>
      <c r="O36" s="3"/>
      <c r="P36" s="3"/>
      <c r="Q36" s="4">
        <v>46284</v>
      </c>
    </row>
    <row r="37" spans="1:17">
      <c r="A37" s="3" t="s">
        <v>281</v>
      </c>
      <c r="B37" s="3" t="s">
        <v>86</v>
      </c>
      <c r="C37" s="3" t="s">
        <v>282</v>
      </c>
      <c r="D37" s="3" t="s">
        <v>283</v>
      </c>
      <c r="E37" s="4">
        <v>46482</v>
      </c>
      <c r="F37" s="4">
        <v>46500</v>
      </c>
      <c r="G37" s="3">
        <v>19</v>
      </c>
      <c r="H37" s="3" t="s">
        <v>73</v>
      </c>
      <c r="I37" s="3" t="s">
        <v>155</v>
      </c>
      <c r="J37" s="3" t="s">
        <v>74</v>
      </c>
      <c r="K37" s="6">
        <v>0</v>
      </c>
      <c r="L37" s="3" t="s">
        <v>284</v>
      </c>
      <c r="M37" s="3" t="s">
        <v>89</v>
      </c>
      <c r="N37" s="3" t="s">
        <v>285</v>
      </c>
      <c r="O37" s="3"/>
      <c r="P37" s="3"/>
      <c r="Q37" s="4">
        <v>46284</v>
      </c>
    </row>
    <row r="38" spans="1:17">
      <c r="A38" s="3" t="s">
        <v>286</v>
      </c>
      <c r="B38" s="3" t="s">
        <v>86</v>
      </c>
      <c r="C38" s="3" t="s">
        <v>282</v>
      </c>
      <c r="D38" s="3" t="s">
        <v>287</v>
      </c>
      <c r="E38" s="4">
        <v>46496</v>
      </c>
      <c r="F38" s="4">
        <v>46507</v>
      </c>
      <c r="G38" s="3">
        <v>12</v>
      </c>
      <c r="H38" s="3" t="s">
        <v>73</v>
      </c>
      <c r="I38" s="3" t="s">
        <v>164</v>
      </c>
      <c r="J38" s="3" t="s">
        <v>74</v>
      </c>
      <c r="K38" s="6">
        <v>0</v>
      </c>
      <c r="L38" s="3" t="s">
        <v>281</v>
      </c>
      <c r="M38" s="3" t="s">
        <v>89</v>
      </c>
      <c r="N38" s="3" t="s">
        <v>288</v>
      </c>
      <c r="O38" s="3"/>
      <c r="P38" s="3"/>
      <c r="Q38" s="4">
        <v>46284</v>
      </c>
    </row>
    <row r="39" spans="1:17">
      <c r="A39" s="3" t="s">
        <v>289</v>
      </c>
      <c r="B39" s="3" t="s">
        <v>86</v>
      </c>
      <c r="C39" s="3" t="s">
        <v>290</v>
      </c>
      <c r="D39" s="3" t="s">
        <v>291</v>
      </c>
      <c r="E39" s="4">
        <v>46503</v>
      </c>
      <c r="F39" s="4">
        <v>46514</v>
      </c>
      <c r="G39" s="3">
        <v>12</v>
      </c>
      <c r="H39" s="3" t="s">
        <v>73</v>
      </c>
      <c r="I39" s="3" t="s">
        <v>164</v>
      </c>
      <c r="J39" s="3" t="s">
        <v>74</v>
      </c>
      <c r="K39" s="6">
        <v>0</v>
      </c>
      <c r="L39" s="3" t="s">
        <v>281</v>
      </c>
      <c r="M39" s="3" t="s">
        <v>89</v>
      </c>
      <c r="N39" s="3" t="s">
        <v>292</v>
      </c>
      <c r="O39" s="3"/>
      <c r="P39" s="3"/>
      <c r="Q39" s="4">
        <v>46284</v>
      </c>
    </row>
    <row r="40" spans="1:17">
      <c r="A40" s="3" t="s">
        <v>293</v>
      </c>
      <c r="B40" s="3" t="s">
        <v>86</v>
      </c>
      <c r="C40" s="3" t="s">
        <v>290</v>
      </c>
      <c r="D40" s="3" t="s">
        <v>294</v>
      </c>
      <c r="E40" s="4">
        <v>46510</v>
      </c>
      <c r="F40" s="4">
        <v>46521</v>
      </c>
      <c r="G40" s="3">
        <v>12</v>
      </c>
      <c r="H40" s="3" t="s">
        <v>73</v>
      </c>
      <c r="I40" s="3" t="s">
        <v>155</v>
      </c>
      <c r="J40" s="3" t="s">
        <v>74</v>
      </c>
      <c r="K40" s="6">
        <v>0</v>
      </c>
      <c r="L40" s="3" t="s">
        <v>289</v>
      </c>
      <c r="M40" s="3" t="s">
        <v>89</v>
      </c>
      <c r="N40" s="3" t="s">
        <v>295</v>
      </c>
      <c r="O40" s="3"/>
      <c r="P40" s="3"/>
      <c r="Q40" s="4">
        <v>46284</v>
      </c>
    </row>
    <row r="41" spans="1:17">
      <c r="A41" s="3" t="s">
        <v>296</v>
      </c>
      <c r="B41" s="3" t="s">
        <v>86</v>
      </c>
      <c r="C41" s="3" t="s">
        <v>290</v>
      </c>
      <c r="D41" s="3" t="s">
        <v>297</v>
      </c>
      <c r="E41" s="4">
        <v>46510</v>
      </c>
      <c r="F41" s="4">
        <v>46521</v>
      </c>
      <c r="G41" s="3">
        <v>12</v>
      </c>
      <c r="H41" s="3" t="s">
        <v>73</v>
      </c>
      <c r="I41" s="3" t="s">
        <v>164</v>
      </c>
      <c r="J41" s="3" t="s">
        <v>74</v>
      </c>
      <c r="K41" s="6">
        <v>0</v>
      </c>
      <c r="L41" s="3" t="s">
        <v>298</v>
      </c>
      <c r="M41" s="3" t="s">
        <v>89</v>
      </c>
      <c r="N41" s="3" t="s">
        <v>299</v>
      </c>
      <c r="O41" s="3"/>
      <c r="P41" s="3"/>
      <c r="Q41" s="4">
        <v>46284</v>
      </c>
    </row>
    <row r="42" spans="1:17" ht="28">
      <c r="A42" s="3" t="s">
        <v>300</v>
      </c>
      <c r="B42" s="3" t="s">
        <v>92</v>
      </c>
      <c r="C42" s="3" t="s">
        <v>301</v>
      </c>
      <c r="D42" s="3" t="s">
        <v>302</v>
      </c>
      <c r="E42" s="4">
        <v>46503</v>
      </c>
      <c r="F42" s="4">
        <v>46514</v>
      </c>
      <c r="G42" s="3">
        <v>12</v>
      </c>
      <c r="H42" s="3" t="s">
        <v>73</v>
      </c>
      <c r="I42" s="3" t="s">
        <v>155</v>
      </c>
      <c r="J42" s="3" t="s">
        <v>74</v>
      </c>
      <c r="K42" s="6">
        <v>0</v>
      </c>
      <c r="L42" s="3" t="s">
        <v>303</v>
      </c>
      <c r="M42" s="3" t="s">
        <v>95</v>
      </c>
      <c r="N42" s="3" t="s">
        <v>304</v>
      </c>
      <c r="O42" s="3"/>
      <c r="P42" s="3"/>
      <c r="Q42" s="4">
        <v>46284</v>
      </c>
    </row>
    <row r="43" spans="1:17">
      <c r="A43" s="3" t="s">
        <v>305</v>
      </c>
      <c r="B43" s="3" t="s">
        <v>92</v>
      </c>
      <c r="C43" s="3" t="s">
        <v>301</v>
      </c>
      <c r="D43" s="3" t="s">
        <v>306</v>
      </c>
      <c r="E43" s="4">
        <v>46510</v>
      </c>
      <c r="F43" s="4">
        <v>46528</v>
      </c>
      <c r="G43" s="3">
        <v>19</v>
      </c>
      <c r="H43" s="3" t="s">
        <v>73</v>
      </c>
      <c r="I43" s="3" t="s">
        <v>155</v>
      </c>
      <c r="J43" s="3" t="s">
        <v>74</v>
      </c>
      <c r="K43" s="6">
        <v>0</v>
      </c>
      <c r="L43" s="3" t="s">
        <v>300</v>
      </c>
      <c r="M43" s="3" t="s">
        <v>95</v>
      </c>
      <c r="N43" s="3" t="s">
        <v>307</v>
      </c>
      <c r="O43" s="3"/>
      <c r="P43" s="3"/>
      <c r="Q43" s="4">
        <v>46284</v>
      </c>
    </row>
    <row r="44" spans="1:17">
      <c r="A44" s="3" t="s">
        <v>308</v>
      </c>
      <c r="B44" s="3" t="s">
        <v>92</v>
      </c>
      <c r="C44" s="3" t="s">
        <v>301</v>
      </c>
      <c r="D44" s="3" t="s">
        <v>309</v>
      </c>
      <c r="E44" s="4">
        <v>46517</v>
      </c>
      <c r="F44" s="4">
        <v>46535</v>
      </c>
      <c r="G44" s="3">
        <v>19</v>
      </c>
      <c r="H44" s="3" t="s">
        <v>73</v>
      </c>
      <c r="I44" s="3" t="s">
        <v>164</v>
      </c>
      <c r="J44" s="3" t="s">
        <v>74</v>
      </c>
      <c r="K44" s="6">
        <v>0</v>
      </c>
      <c r="L44" s="3" t="s">
        <v>300</v>
      </c>
      <c r="M44" s="3" t="s">
        <v>95</v>
      </c>
      <c r="N44" s="3" t="s">
        <v>310</v>
      </c>
      <c r="O44" s="3"/>
      <c r="P44" s="3"/>
      <c r="Q44" s="4">
        <v>46284</v>
      </c>
    </row>
    <row r="45" spans="1:17">
      <c r="A45" s="3" t="s">
        <v>311</v>
      </c>
      <c r="B45" s="3" t="s">
        <v>92</v>
      </c>
      <c r="C45" s="3" t="s">
        <v>301</v>
      </c>
      <c r="D45" s="3" t="s">
        <v>312</v>
      </c>
      <c r="E45" s="4">
        <v>46524</v>
      </c>
      <c r="F45" s="4">
        <v>46542</v>
      </c>
      <c r="G45" s="3">
        <v>19</v>
      </c>
      <c r="H45" s="3" t="s">
        <v>73</v>
      </c>
      <c r="I45" s="3" t="s">
        <v>164</v>
      </c>
      <c r="J45" s="3" t="s">
        <v>74</v>
      </c>
      <c r="K45" s="6">
        <v>0</v>
      </c>
      <c r="L45" s="3" t="s">
        <v>305</v>
      </c>
      <c r="M45" s="3" t="s">
        <v>95</v>
      </c>
      <c r="N45" s="3" t="s">
        <v>313</v>
      </c>
      <c r="O45" s="3"/>
      <c r="P45" s="3"/>
      <c r="Q45" s="4">
        <v>46284</v>
      </c>
    </row>
    <row r="46" spans="1:17">
      <c r="A46" s="3" t="s">
        <v>314</v>
      </c>
      <c r="B46" s="3" t="s">
        <v>92</v>
      </c>
      <c r="C46" s="3" t="s">
        <v>301</v>
      </c>
      <c r="D46" s="3" t="s">
        <v>315</v>
      </c>
      <c r="E46" s="4">
        <v>46531</v>
      </c>
      <c r="F46" s="4">
        <v>46549</v>
      </c>
      <c r="G46" s="3">
        <v>19</v>
      </c>
      <c r="H46" s="3" t="s">
        <v>73</v>
      </c>
      <c r="I46" s="3" t="s">
        <v>155</v>
      </c>
      <c r="J46" s="3" t="s">
        <v>74</v>
      </c>
      <c r="K46" s="6">
        <v>0</v>
      </c>
      <c r="L46" s="3" t="s">
        <v>305</v>
      </c>
      <c r="M46" s="3" t="s">
        <v>95</v>
      </c>
      <c r="N46" s="3" t="s">
        <v>316</v>
      </c>
      <c r="O46" s="3"/>
      <c r="P46" s="3"/>
      <c r="Q46" s="4">
        <v>46284</v>
      </c>
    </row>
    <row r="47" spans="1:17">
      <c r="A47" s="3" t="s">
        <v>317</v>
      </c>
      <c r="B47" s="3" t="s">
        <v>92</v>
      </c>
      <c r="C47" s="3" t="s">
        <v>318</v>
      </c>
      <c r="D47" s="3" t="s">
        <v>319</v>
      </c>
      <c r="E47" s="4">
        <v>46517</v>
      </c>
      <c r="F47" s="4">
        <v>46535</v>
      </c>
      <c r="G47" s="3">
        <v>19</v>
      </c>
      <c r="H47" s="3" t="s">
        <v>73</v>
      </c>
      <c r="I47" s="3" t="s">
        <v>164</v>
      </c>
      <c r="J47" s="3" t="s">
        <v>74</v>
      </c>
      <c r="K47" s="6">
        <v>0</v>
      </c>
      <c r="L47" s="3" t="s">
        <v>320</v>
      </c>
      <c r="M47" s="3" t="s">
        <v>95</v>
      </c>
      <c r="N47" s="3" t="s">
        <v>321</v>
      </c>
      <c r="O47" s="3"/>
      <c r="P47" s="3"/>
      <c r="Q47" s="4">
        <v>46284</v>
      </c>
    </row>
    <row r="48" spans="1:17">
      <c r="A48" s="3" t="s">
        <v>322</v>
      </c>
      <c r="B48" s="3" t="s">
        <v>92</v>
      </c>
      <c r="C48" s="3" t="s">
        <v>318</v>
      </c>
      <c r="D48" s="3" t="s">
        <v>323</v>
      </c>
      <c r="E48" s="4">
        <v>46531</v>
      </c>
      <c r="F48" s="4">
        <v>46549</v>
      </c>
      <c r="G48" s="3">
        <v>19</v>
      </c>
      <c r="H48" s="3" t="s">
        <v>73</v>
      </c>
      <c r="I48" s="3" t="s">
        <v>164</v>
      </c>
      <c r="J48" s="3" t="s">
        <v>74</v>
      </c>
      <c r="K48" s="6">
        <v>0</v>
      </c>
      <c r="L48" s="3" t="s">
        <v>317</v>
      </c>
      <c r="M48" s="3" t="s">
        <v>95</v>
      </c>
      <c r="N48" s="3" t="s">
        <v>324</v>
      </c>
      <c r="O48" s="3"/>
      <c r="P48" s="3"/>
      <c r="Q48" s="4">
        <v>46284</v>
      </c>
    </row>
    <row r="49" spans="1:17">
      <c r="A49" s="3" t="s">
        <v>325</v>
      </c>
      <c r="B49" s="3" t="s">
        <v>92</v>
      </c>
      <c r="C49" s="3" t="s">
        <v>326</v>
      </c>
      <c r="D49" s="3" t="s">
        <v>327</v>
      </c>
      <c r="E49" s="4">
        <v>46539</v>
      </c>
      <c r="F49" s="4">
        <v>46556</v>
      </c>
      <c r="G49" s="3">
        <v>18</v>
      </c>
      <c r="H49" s="3" t="s">
        <v>73</v>
      </c>
      <c r="I49" s="3" t="s">
        <v>155</v>
      </c>
      <c r="J49" s="3" t="s">
        <v>74</v>
      </c>
      <c r="K49" s="6">
        <v>0</v>
      </c>
      <c r="L49" s="3" t="s">
        <v>215</v>
      </c>
      <c r="M49" s="3" t="s">
        <v>95</v>
      </c>
      <c r="N49" s="3" t="s">
        <v>328</v>
      </c>
      <c r="O49" s="3"/>
      <c r="P49" s="3"/>
      <c r="Q49" s="4">
        <v>46284</v>
      </c>
    </row>
    <row r="50" spans="1:17">
      <c r="A50" s="3" t="s">
        <v>329</v>
      </c>
      <c r="B50" s="3" t="s">
        <v>92</v>
      </c>
      <c r="C50" s="3" t="s">
        <v>326</v>
      </c>
      <c r="D50" s="3" t="s">
        <v>330</v>
      </c>
      <c r="E50" s="4">
        <v>46552</v>
      </c>
      <c r="F50" s="4">
        <v>46563</v>
      </c>
      <c r="G50" s="3">
        <v>12</v>
      </c>
      <c r="H50" s="3" t="s">
        <v>73</v>
      </c>
      <c r="I50" s="3" t="s">
        <v>164</v>
      </c>
      <c r="J50" s="3" t="s">
        <v>74</v>
      </c>
      <c r="K50" s="6">
        <v>0</v>
      </c>
      <c r="L50" s="3" t="s">
        <v>331</v>
      </c>
      <c r="M50" s="3" t="s">
        <v>95</v>
      </c>
      <c r="N50" s="3" t="s">
        <v>332</v>
      </c>
      <c r="O50" s="3"/>
      <c r="P50" s="3"/>
      <c r="Q50" s="4">
        <v>46284</v>
      </c>
    </row>
    <row r="51" spans="1:17">
      <c r="A51" s="3" t="s">
        <v>333</v>
      </c>
      <c r="B51" s="3" t="s">
        <v>98</v>
      </c>
      <c r="C51" s="3" t="s">
        <v>334</v>
      </c>
      <c r="D51" s="3" t="s">
        <v>335</v>
      </c>
      <c r="E51" s="4">
        <v>46552</v>
      </c>
      <c r="F51" s="4">
        <v>46563</v>
      </c>
      <c r="G51" s="3">
        <v>12</v>
      </c>
      <c r="H51" s="3" t="s">
        <v>73</v>
      </c>
      <c r="I51" s="3" t="s">
        <v>155</v>
      </c>
      <c r="J51" s="3" t="s">
        <v>74</v>
      </c>
      <c r="K51" s="6">
        <v>0</v>
      </c>
      <c r="L51" s="3" t="s">
        <v>269</v>
      </c>
      <c r="M51" s="3" t="s">
        <v>101</v>
      </c>
      <c r="N51" s="3" t="s">
        <v>336</v>
      </c>
      <c r="O51" s="3"/>
      <c r="P51" s="3"/>
      <c r="Q51" s="4">
        <v>46284</v>
      </c>
    </row>
    <row r="52" spans="1:17">
      <c r="A52" s="3" t="s">
        <v>337</v>
      </c>
      <c r="B52" s="3" t="s">
        <v>98</v>
      </c>
      <c r="C52" s="3" t="s">
        <v>334</v>
      </c>
      <c r="D52" s="3" t="s">
        <v>338</v>
      </c>
      <c r="E52" s="4">
        <v>46559</v>
      </c>
      <c r="F52" s="4">
        <v>46577</v>
      </c>
      <c r="G52" s="3">
        <v>19</v>
      </c>
      <c r="H52" s="3" t="s">
        <v>73</v>
      </c>
      <c r="I52" s="3" t="s">
        <v>155</v>
      </c>
      <c r="J52" s="3" t="s">
        <v>74</v>
      </c>
      <c r="K52" s="6">
        <v>0</v>
      </c>
      <c r="L52" s="3" t="s">
        <v>333</v>
      </c>
      <c r="M52" s="3" t="s">
        <v>101</v>
      </c>
      <c r="N52" s="3" t="s">
        <v>339</v>
      </c>
      <c r="O52" s="3"/>
      <c r="P52" s="3"/>
      <c r="Q52" s="4">
        <v>46284</v>
      </c>
    </row>
    <row r="53" spans="1:17">
      <c r="A53" s="3" t="s">
        <v>340</v>
      </c>
      <c r="B53" s="3" t="s">
        <v>98</v>
      </c>
      <c r="C53" s="3" t="s">
        <v>334</v>
      </c>
      <c r="D53" s="3" t="s">
        <v>341</v>
      </c>
      <c r="E53" s="4">
        <v>46566</v>
      </c>
      <c r="F53" s="4">
        <v>46584</v>
      </c>
      <c r="G53" s="3">
        <v>19</v>
      </c>
      <c r="H53" s="3" t="s">
        <v>73</v>
      </c>
      <c r="I53" s="3" t="s">
        <v>155</v>
      </c>
      <c r="J53" s="3" t="s">
        <v>74</v>
      </c>
      <c r="K53" s="6">
        <v>0</v>
      </c>
      <c r="L53" s="3" t="s">
        <v>337</v>
      </c>
      <c r="M53" s="3" t="s">
        <v>101</v>
      </c>
      <c r="N53" s="3" t="s">
        <v>342</v>
      </c>
      <c r="O53" s="3"/>
      <c r="P53" s="3"/>
      <c r="Q53" s="4">
        <v>46284</v>
      </c>
    </row>
    <row r="54" spans="1:17">
      <c r="A54" s="3" t="s">
        <v>343</v>
      </c>
      <c r="B54" s="3" t="s">
        <v>98</v>
      </c>
      <c r="C54" s="3" t="s">
        <v>344</v>
      </c>
      <c r="D54" s="3" t="s">
        <v>345</v>
      </c>
      <c r="E54" s="4">
        <v>46573</v>
      </c>
      <c r="F54" s="4">
        <v>46591</v>
      </c>
      <c r="G54" s="3">
        <v>19</v>
      </c>
      <c r="H54" s="3" t="s">
        <v>73</v>
      </c>
      <c r="I54" s="3" t="s">
        <v>155</v>
      </c>
      <c r="J54" s="3" t="s">
        <v>74</v>
      </c>
      <c r="K54" s="6">
        <v>0</v>
      </c>
      <c r="L54" s="3" t="s">
        <v>346</v>
      </c>
      <c r="M54" s="3" t="s">
        <v>101</v>
      </c>
      <c r="N54" s="3" t="s">
        <v>347</v>
      </c>
      <c r="O54" s="3"/>
      <c r="P54" s="3"/>
      <c r="Q54" s="4">
        <v>46284</v>
      </c>
    </row>
    <row r="55" spans="1:17">
      <c r="A55" s="3" t="s">
        <v>348</v>
      </c>
      <c r="B55" s="3" t="s">
        <v>98</v>
      </c>
      <c r="C55" s="3" t="s">
        <v>344</v>
      </c>
      <c r="D55" s="3" t="s">
        <v>349</v>
      </c>
      <c r="E55" s="4">
        <v>46580</v>
      </c>
      <c r="F55" s="4">
        <v>46598</v>
      </c>
      <c r="G55" s="3">
        <v>19</v>
      </c>
      <c r="H55" s="3" t="s">
        <v>73</v>
      </c>
      <c r="I55" s="3" t="s">
        <v>155</v>
      </c>
      <c r="J55" s="3" t="s">
        <v>74</v>
      </c>
      <c r="K55" s="6">
        <v>0</v>
      </c>
      <c r="L55" s="3" t="s">
        <v>343</v>
      </c>
      <c r="M55" s="3" t="s">
        <v>101</v>
      </c>
      <c r="N55" s="3" t="s">
        <v>350</v>
      </c>
      <c r="O55" s="3"/>
      <c r="P55" s="3"/>
      <c r="Q55" s="4">
        <v>46284</v>
      </c>
    </row>
    <row r="56" spans="1:17">
      <c r="A56" s="3" t="s">
        <v>351</v>
      </c>
      <c r="B56" s="3" t="s">
        <v>98</v>
      </c>
      <c r="C56" s="3" t="s">
        <v>352</v>
      </c>
      <c r="D56" s="3" t="s">
        <v>353</v>
      </c>
      <c r="E56" s="4">
        <v>46587</v>
      </c>
      <c r="F56" s="4">
        <v>46605</v>
      </c>
      <c r="G56" s="3">
        <v>19</v>
      </c>
      <c r="H56" s="3" t="s">
        <v>73</v>
      </c>
      <c r="I56" s="3" t="s">
        <v>155</v>
      </c>
      <c r="J56" s="3" t="s">
        <v>74</v>
      </c>
      <c r="K56" s="6">
        <v>0</v>
      </c>
      <c r="L56" s="3" t="s">
        <v>354</v>
      </c>
      <c r="M56" s="3" t="s">
        <v>101</v>
      </c>
      <c r="N56" s="3" t="s">
        <v>355</v>
      </c>
      <c r="O56" s="3"/>
      <c r="P56" s="3"/>
      <c r="Q56" s="4">
        <v>46284</v>
      </c>
    </row>
    <row r="57" spans="1:17">
      <c r="A57" s="3" t="s">
        <v>356</v>
      </c>
      <c r="B57" s="3" t="s">
        <v>98</v>
      </c>
      <c r="C57" s="3" t="s">
        <v>352</v>
      </c>
      <c r="D57" s="3" t="s">
        <v>357</v>
      </c>
      <c r="E57" s="4">
        <v>46594</v>
      </c>
      <c r="F57" s="4">
        <v>46612</v>
      </c>
      <c r="G57" s="3">
        <v>19</v>
      </c>
      <c r="H57" s="3" t="s">
        <v>73</v>
      </c>
      <c r="I57" s="3" t="s">
        <v>155</v>
      </c>
      <c r="J57" s="3" t="s">
        <v>74</v>
      </c>
      <c r="K57" s="6">
        <v>0</v>
      </c>
      <c r="L57" s="3" t="s">
        <v>348</v>
      </c>
      <c r="M57" s="3" t="s">
        <v>101</v>
      </c>
      <c r="N57" s="3" t="s">
        <v>358</v>
      </c>
      <c r="O57" s="3"/>
      <c r="P57" s="3"/>
      <c r="Q57" s="4">
        <v>46284</v>
      </c>
    </row>
    <row r="58" spans="1:17">
      <c r="A58" s="3" t="s">
        <v>359</v>
      </c>
      <c r="B58" s="3" t="s">
        <v>98</v>
      </c>
      <c r="C58" s="3" t="s">
        <v>352</v>
      </c>
      <c r="D58" s="3" t="s">
        <v>360</v>
      </c>
      <c r="E58" s="4">
        <v>46601</v>
      </c>
      <c r="F58" s="4">
        <v>46619</v>
      </c>
      <c r="G58" s="3">
        <v>19</v>
      </c>
      <c r="H58" s="3" t="s">
        <v>73</v>
      </c>
      <c r="I58" s="3" t="s">
        <v>164</v>
      </c>
      <c r="J58" s="3" t="s">
        <v>74</v>
      </c>
      <c r="K58" s="6">
        <v>0</v>
      </c>
      <c r="L58" s="3" t="s">
        <v>351</v>
      </c>
      <c r="M58" s="3" t="s">
        <v>101</v>
      </c>
      <c r="N58" s="3" t="s">
        <v>361</v>
      </c>
      <c r="O58" s="3"/>
      <c r="P58" s="3"/>
      <c r="Q58" s="4">
        <v>46284</v>
      </c>
    </row>
    <row r="59" spans="1:17">
      <c r="A59" s="3" t="s">
        <v>362</v>
      </c>
      <c r="B59" s="3" t="s">
        <v>98</v>
      </c>
      <c r="C59" s="3" t="s">
        <v>334</v>
      </c>
      <c r="D59" s="3" t="s">
        <v>363</v>
      </c>
      <c r="E59" s="4">
        <v>46587</v>
      </c>
      <c r="F59" s="4">
        <v>46619</v>
      </c>
      <c r="G59" s="3">
        <v>33</v>
      </c>
      <c r="H59" s="3" t="s">
        <v>73</v>
      </c>
      <c r="I59" s="3" t="s">
        <v>364</v>
      </c>
      <c r="J59" s="3" t="s">
        <v>74</v>
      </c>
      <c r="K59" s="6">
        <v>0</v>
      </c>
      <c r="L59" s="3" t="s">
        <v>365</v>
      </c>
      <c r="M59" s="3" t="s">
        <v>101</v>
      </c>
      <c r="N59" s="3" t="s">
        <v>366</v>
      </c>
      <c r="O59" s="3"/>
      <c r="P59" s="3"/>
      <c r="Q59" s="4">
        <v>46284</v>
      </c>
    </row>
    <row r="60" spans="1:17">
      <c r="A60" s="3" t="s">
        <v>367</v>
      </c>
      <c r="B60" s="3" t="s">
        <v>104</v>
      </c>
      <c r="C60" s="3" t="s">
        <v>368</v>
      </c>
      <c r="D60" s="3" t="s">
        <v>369</v>
      </c>
      <c r="E60" s="4">
        <v>46608</v>
      </c>
      <c r="F60" s="4">
        <v>46626</v>
      </c>
      <c r="G60" s="3">
        <v>19</v>
      </c>
      <c r="H60" s="3" t="s">
        <v>73</v>
      </c>
      <c r="I60" s="3" t="s">
        <v>155</v>
      </c>
      <c r="J60" s="3" t="s">
        <v>74</v>
      </c>
      <c r="K60" s="6">
        <v>0</v>
      </c>
      <c r="L60" s="3" t="s">
        <v>252</v>
      </c>
      <c r="M60" s="3" t="s">
        <v>107</v>
      </c>
      <c r="N60" s="3" t="s">
        <v>370</v>
      </c>
      <c r="O60" s="3"/>
      <c r="P60" s="3"/>
      <c r="Q60" s="4">
        <v>46284</v>
      </c>
    </row>
    <row r="61" spans="1:17" ht="28">
      <c r="A61" s="3" t="s">
        <v>371</v>
      </c>
      <c r="B61" s="3" t="s">
        <v>104</v>
      </c>
      <c r="C61" s="3" t="s">
        <v>368</v>
      </c>
      <c r="D61" s="3" t="s">
        <v>372</v>
      </c>
      <c r="E61" s="4">
        <v>46615</v>
      </c>
      <c r="F61" s="4">
        <v>46633</v>
      </c>
      <c r="G61" s="3">
        <v>19</v>
      </c>
      <c r="H61" s="3" t="s">
        <v>73</v>
      </c>
      <c r="I61" s="3" t="s">
        <v>155</v>
      </c>
      <c r="J61" s="3" t="s">
        <v>74</v>
      </c>
      <c r="K61" s="6">
        <v>0</v>
      </c>
      <c r="L61" s="3" t="s">
        <v>367</v>
      </c>
      <c r="M61" s="3" t="s">
        <v>107</v>
      </c>
      <c r="N61" s="3" t="s">
        <v>373</v>
      </c>
      <c r="O61" s="3"/>
      <c r="P61" s="3"/>
      <c r="Q61" s="4">
        <v>46284</v>
      </c>
    </row>
    <row r="62" spans="1:17">
      <c r="A62" s="3" t="s">
        <v>374</v>
      </c>
      <c r="B62" s="3" t="s">
        <v>104</v>
      </c>
      <c r="C62" s="3" t="s">
        <v>368</v>
      </c>
      <c r="D62" s="3" t="s">
        <v>375</v>
      </c>
      <c r="E62" s="4">
        <v>46622</v>
      </c>
      <c r="F62" s="4">
        <v>46640</v>
      </c>
      <c r="G62" s="3">
        <v>19</v>
      </c>
      <c r="H62" s="3" t="s">
        <v>73</v>
      </c>
      <c r="I62" s="3" t="s">
        <v>155</v>
      </c>
      <c r="J62" s="3" t="s">
        <v>74</v>
      </c>
      <c r="K62" s="6">
        <v>0</v>
      </c>
      <c r="L62" s="3" t="s">
        <v>371</v>
      </c>
      <c r="M62" s="3" t="s">
        <v>107</v>
      </c>
      <c r="N62" s="3" t="s">
        <v>376</v>
      </c>
      <c r="O62" s="3"/>
      <c r="P62" s="3"/>
      <c r="Q62" s="4">
        <v>46284</v>
      </c>
    </row>
    <row r="63" spans="1:17">
      <c r="A63" s="3" t="s">
        <v>377</v>
      </c>
      <c r="B63" s="3" t="s">
        <v>104</v>
      </c>
      <c r="C63" s="3" t="s">
        <v>368</v>
      </c>
      <c r="D63" s="3" t="s">
        <v>378</v>
      </c>
      <c r="E63" s="4">
        <v>46629</v>
      </c>
      <c r="F63" s="4">
        <v>46647</v>
      </c>
      <c r="G63" s="3">
        <v>19</v>
      </c>
      <c r="H63" s="3" t="s">
        <v>73</v>
      </c>
      <c r="I63" s="3" t="s">
        <v>164</v>
      </c>
      <c r="J63" s="3" t="s">
        <v>74</v>
      </c>
      <c r="K63" s="6">
        <v>0</v>
      </c>
      <c r="L63" s="3" t="s">
        <v>371</v>
      </c>
      <c r="M63" s="3" t="s">
        <v>107</v>
      </c>
      <c r="N63" s="3" t="s">
        <v>379</v>
      </c>
      <c r="O63" s="3"/>
      <c r="P63" s="3"/>
      <c r="Q63" s="4">
        <v>46284</v>
      </c>
    </row>
    <row r="64" spans="1:17">
      <c r="A64" s="3" t="s">
        <v>380</v>
      </c>
      <c r="B64" s="3" t="s">
        <v>104</v>
      </c>
      <c r="C64" s="3" t="s">
        <v>381</v>
      </c>
      <c r="D64" s="3" t="s">
        <v>382</v>
      </c>
      <c r="E64" s="4">
        <v>46636</v>
      </c>
      <c r="F64" s="4">
        <v>46654</v>
      </c>
      <c r="G64" s="3">
        <v>19</v>
      </c>
      <c r="H64" s="3" t="s">
        <v>73</v>
      </c>
      <c r="I64" s="3" t="s">
        <v>155</v>
      </c>
      <c r="J64" s="3" t="s">
        <v>74</v>
      </c>
      <c r="K64" s="6">
        <v>0</v>
      </c>
      <c r="L64" s="3" t="s">
        <v>371</v>
      </c>
      <c r="M64" s="3" t="s">
        <v>107</v>
      </c>
      <c r="N64" s="3" t="s">
        <v>383</v>
      </c>
      <c r="O64" s="3"/>
      <c r="P64" s="3"/>
      <c r="Q64" s="4">
        <v>46284</v>
      </c>
    </row>
    <row r="65" spans="1:17">
      <c r="A65" s="3" t="s">
        <v>384</v>
      </c>
      <c r="B65" s="3" t="s">
        <v>104</v>
      </c>
      <c r="C65" s="3" t="s">
        <v>381</v>
      </c>
      <c r="D65" s="3" t="s">
        <v>385</v>
      </c>
      <c r="E65" s="4">
        <v>46643</v>
      </c>
      <c r="F65" s="4">
        <v>46661</v>
      </c>
      <c r="G65" s="3">
        <v>19</v>
      </c>
      <c r="H65" s="3" t="s">
        <v>73</v>
      </c>
      <c r="I65" s="3" t="s">
        <v>155</v>
      </c>
      <c r="J65" s="3" t="s">
        <v>74</v>
      </c>
      <c r="K65" s="6">
        <v>0</v>
      </c>
      <c r="L65" s="3" t="s">
        <v>380</v>
      </c>
      <c r="M65" s="3" t="s">
        <v>107</v>
      </c>
      <c r="N65" s="3" t="s">
        <v>386</v>
      </c>
      <c r="O65" s="3"/>
      <c r="P65" s="3"/>
      <c r="Q65" s="4">
        <v>46284</v>
      </c>
    </row>
    <row r="66" spans="1:17">
      <c r="A66" s="3" t="s">
        <v>387</v>
      </c>
      <c r="B66" s="3" t="s">
        <v>104</v>
      </c>
      <c r="C66" s="3" t="s">
        <v>381</v>
      </c>
      <c r="D66" s="3" t="s">
        <v>388</v>
      </c>
      <c r="E66" s="4">
        <v>46650</v>
      </c>
      <c r="F66" s="4">
        <v>46661</v>
      </c>
      <c r="G66" s="3">
        <v>12</v>
      </c>
      <c r="H66" s="3" t="s">
        <v>73</v>
      </c>
      <c r="I66" s="3" t="s">
        <v>164</v>
      </c>
      <c r="J66" s="3" t="s">
        <v>74</v>
      </c>
      <c r="K66" s="6">
        <v>0</v>
      </c>
      <c r="L66" s="3" t="s">
        <v>380</v>
      </c>
      <c r="M66" s="3" t="s">
        <v>107</v>
      </c>
      <c r="N66" s="3" t="s">
        <v>389</v>
      </c>
      <c r="O66" s="3"/>
      <c r="P66" s="3"/>
      <c r="Q66" s="4">
        <v>46284</v>
      </c>
    </row>
    <row r="67" spans="1:17" ht="28">
      <c r="A67" s="3" t="s">
        <v>390</v>
      </c>
      <c r="B67" s="3" t="s">
        <v>104</v>
      </c>
      <c r="C67" s="3" t="s">
        <v>381</v>
      </c>
      <c r="D67" s="3" t="s">
        <v>391</v>
      </c>
      <c r="E67" s="4">
        <v>46657</v>
      </c>
      <c r="F67" s="4">
        <v>46668</v>
      </c>
      <c r="G67" s="3">
        <v>12</v>
      </c>
      <c r="H67" s="3" t="s">
        <v>73</v>
      </c>
      <c r="I67" s="3" t="s">
        <v>155</v>
      </c>
      <c r="J67" s="3" t="s">
        <v>74</v>
      </c>
      <c r="K67" s="6">
        <v>0</v>
      </c>
      <c r="L67" s="3" t="s">
        <v>384</v>
      </c>
      <c r="M67" s="3" t="s">
        <v>107</v>
      </c>
      <c r="N67" s="3" t="s">
        <v>392</v>
      </c>
      <c r="O67" s="3"/>
      <c r="P67" s="3"/>
      <c r="Q67" s="4">
        <v>46284</v>
      </c>
    </row>
    <row r="68" spans="1:17">
      <c r="A68" s="3" t="s">
        <v>393</v>
      </c>
      <c r="B68" s="3" t="s">
        <v>104</v>
      </c>
      <c r="C68" s="3" t="s">
        <v>368</v>
      </c>
      <c r="D68" s="3" t="s">
        <v>394</v>
      </c>
      <c r="E68" s="4">
        <v>46664</v>
      </c>
      <c r="F68" s="4">
        <v>46675</v>
      </c>
      <c r="G68" s="3">
        <v>12</v>
      </c>
      <c r="H68" s="3" t="s">
        <v>73</v>
      </c>
      <c r="I68" s="3" t="s">
        <v>155</v>
      </c>
      <c r="J68" s="3" t="s">
        <v>74</v>
      </c>
      <c r="K68" s="6">
        <v>0</v>
      </c>
      <c r="L68" s="3" t="s">
        <v>395</v>
      </c>
      <c r="M68" s="3" t="s">
        <v>107</v>
      </c>
      <c r="N68" s="3" t="s">
        <v>396</v>
      </c>
      <c r="O68" s="3"/>
      <c r="P68" s="3"/>
      <c r="Q68" s="4">
        <v>46284</v>
      </c>
    </row>
    <row r="69" spans="1:17">
      <c r="A69" s="3" t="s">
        <v>397</v>
      </c>
      <c r="B69" s="3" t="s">
        <v>104</v>
      </c>
      <c r="C69" s="3" t="s">
        <v>368</v>
      </c>
      <c r="D69" s="3" t="s">
        <v>398</v>
      </c>
      <c r="E69" s="4">
        <v>46664</v>
      </c>
      <c r="F69" s="4">
        <v>46675</v>
      </c>
      <c r="G69" s="3">
        <v>12</v>
      </c>
      <c r="H69" s="3" t="s">
        <v>73</v>
      </c>
      <c r="I69" s="3" t="s">
        <v>164</v>
      </c>
      <c r="J69" s="3" t="s">
        <v>74</v>
      </c>
      <c r="K69" s="6">
        <v>0</v>
      </c>
      <c r="L69" s="3" t="s">
        <v>399</v>
      </c>
      <c r="M69" s="3" t="s">
        <v>107</v>
      </c>
      <c r="N69" s="3" t="s">
        <v>400</v>
      </c>
      <c r="O69" s="3"/>
      <c r="P69" s="3"/>
      <c r="Q69" s="4">
        <v>46284</v>
      </c>
    </row>
    <row r="70" spans="1:17">
      <c r="A70" s="3" t="s">
        <v>401</v>
      </c>
      <c r="B70" s="3" t="s">
        <v>104</v>
      </c>
      <c r="C70" s="3" t="s">
        <v>368</v>
      </c>
      <c r="D70" s="3" t="s">
        <v>402</v>
      </c>
      <c r="E70" s="4">
        <v>46671</v>
      </c>
      <c r="F70" s="4">
        <v>46682</v>
      </c>
      <c r="G70" s="3">
        <v>12</v>
      </c>
      <c r="H70" s="3" t="s">
        <v>73</v>
      </c>
      <c r="I70" s="3" t="s">
        <v>155</v>
      </c>
      <c r="J70" s="3" t="s">
        <v>74</v>
      </c>
      <c r="K70" s="6">
        <v>0</v>
      </c>
      <c r="L70" s="3" t="s">
        <v>384</v>
      </c>
      <c r="M70" s="3" t="s">
        <v>107</v>
      </c>
      <c r="N70" s="3" t="s">
        <v>403</v>
      </c>
      <c r="O70" s="3"/>
      <c r="P70" s="3"/>
      <c r="Q70" s="4">
        <v>46284</v>
      </c>
    </row>
    <row r="71" spans="1:17">
      <c r="A71" s="3" t="s">
        <v>404</v>
      </c>
      <c r="B71" s="3" t="s">
        <v>104</v>
      </c>
      <c r="C71" s="3" t="s">
        <v>368</v>
      </c>
      <c r="D71" s="3" t="s">
        <v>405</v>
      </c>
      <c r="E71" s="4">
        <v>46671</v>
      </c>
      <c r="F71" s="4">
        <v>46682</v>
      </c>
      <c r="G71" s="3">
        <v>12</v>
      </c>
      <c r="H71" s="3" t="s">
        <v>73</v>
      </c>
      <c r="I71" s="3" t="s">
        <v>164</v>
      </c>
      <c r="J71" s="3" t="s">
        <v>74</v>
      </c>
      <c r="K71" s="6">
        <v>0</v>
      </c>
      <c r="L71" s="3" t="s">
        <v>395</v>
      </c>
      <c r="M71" s="3" t="s">
        <v>107</v>
      </c>
      <c r="N71" s="3" t="s">
        <v>406</v>
      </c>
      <c r="O71" s="3"/>
      <c r="P71" s="3"/>
      <c r="Q71" s="4">
        <v>46284</v>
      </c>
    </row>
    <row r="72" spans="1:17">
      <c r="A72" s="3" t="s">
        <v>407</v>
      </c>
      <c r="B72" s="3" t="s">
        <v>110</v>
      </c>
      <c r="C72" s="3" t="s">
        <v>408</v>
      </c>
      <c r="D72" s="3" t="s">
        <v>409</v>
      </c>
      <c r="E72" s="4">
        <v>46664</v>
      </c>
      <c r="F72" s="4">
        <v>46682</v>
      </c>
      <c r="G72" s="3">
        <v>19</v>
      </c>
      <c r="H72" s="3" t="s">
        <v>73</v>
      </c>
      <c r="I72" s="3" t="s">
        <v>164</v>
      </c>
      <c r="J72" s="3" t="s">
        <v>74</v>
      </c>
      <c r="K72" s="6">
        <v>0</v>
      </c>
      <c r="L72" s="3" t="s">
        <v>276</v>
      </c>
      <c r="M72" s="3" t="s">
        <v>113</v>
      </c>
      <c r="N72" s="3" t="s">
        <v>410</v>
      </c>
      <c r="O72" s="3"/>
      <c r="P72" s="3"/>
      <c r="Q72" s="4">
        <v>46284</v>
      </c>
    </row>
    <row r="73" spans="1:17">
      <c r="A73" s="3" t="s">
        <v>411</v>
      </c>
      <c r="B73" s="3" t="s">
        <v>110</v>
      </c>
      <c r="C73" s="3" t="s">
        <v>408</v>
      </c>
      <c r="D73" s="3" t="s">
        <v>412</v>
      </c>
      <c r="E73" s="4">
        <v>46678</v>
      </c>
      <c r="F73" s="4">
        <v>46696</v>
      </c>
      <c r="G73" s="3">
        <v>19</v>
      </c>
      <c r="H73" s="3" t="s">
        <v>73</v>
      </c>
      <c r="I73" s="3" t="s">
        <v>164</v>
      </c>
      <c r="J73" s="3" t="s">
        <v>74</v>
      </c>
      <c r="K73" s="6">
        <v>0</v>
      </c>
      <c r="L73" s="3" t="s">
        <v>407</v>
      </c>
      <c r="M73" s="3" t="s">
        <v>113</v>
      </c>
      <c r="N73" s="3" t="s">
        <v>413</v>
      </c>
      <c r="O73" s="3"/>
      <c r="P73" s="3"/>
      <c r="Q73" s="4">
        <v>46284</v>
      </c>
    </row>
    <row r="74" spans="1:17">
      <c r="A74" s="3" t="s">
        <v>414</v>
      </c>
      <c r="B74" s="3" t="s">
        <v>110</v>
      </c>
      <c r="C74" s="3" t="s">
        <v>415</v>
      </c>
      <c r="D74" s="3" t="s">
        <v>416</v>
      </c>
      <c r="E74" s="4">
        <v>46678</v>
      </c>
      <c r="F74" s="4">
        <v>46696</v>
      </c>
      <c r="G74" s="3">
        <v>19</v>
      </c>
      <c r="H74" s="3" t="s">
        <v>73</v>
      </c>
      <c r="I74" s="3" t="s">
        <v>164</v>
      </c>
      <c r="J74" s="3" t="s">
        <v>74</v>
      </c>
      <c r="K74" s="6">
        <v>0</v>
      </c>
      <c r="L74" s="3" t="s">
        <v>407</v>
      </c>
      <c r="M74" s="3" t="s">
        <v>113</v>
      </c>
      <c r="N74" s="3" t="s">
        <v>417</v>
      </c>
      <c r="O74" s="3"/>
      <c r="P74" s="3"/>
      <c r="Q74" s="4">
        <v>46284</v>
      </c>
    </row>
    <row r="75" spans="1:17">
      <c r="A75" s="3" t="s">
        <v>418</v>
      </c>
      <c r="B75" s="3" t="s">
        <v>110</v>
      </c>
      <c r="C75" s="3" t="s">
        <v>419</v>
      </c>
      <c r="D75" s="3" t="s">
        <v>420</v>
      </c>
      <c r="E75" s="4">
        <v>46685</v>
      </c>
      <c r="F75" s="4">
        <v>46703</v>
      </c>
      <c r="G75" s="3">
        <v>19</v>
      </c>
      <c r="H75" s="3" t="s">
        <v>73</v>
      </c>
      <c r="I75" s="3" t="s">
        <v>155</v>
      </c>
      <c r="J75" s="3" t="s">
        <v>74</v>
      </c>
      <c r="K75" s="6">
        <v>0</v>
      </c>
      <c r="L75" s="3" t="s">
        <v>407</v>
      </c>
      <c r="M75" s="3" t="s">
        <v>113</v>
      </c>
      <c r="N75" s="3" t="s">
        <v>421</v>
      </c>
      <c r="O75" s="3"/>
      <c r="P75" s="3"/>
      <c r="Q75" s="4">
        <v>46284</v>
      </c>
    </row>
    <row r="76" spans="1:17">
      <c r="A76" s="3" t="s">
        <v>422</v>
      </c>
      <c r="B76" s="3" t="s">
        <v>110</v>
      </c>
      <c r="C76" s="3" t="s">
        <v>419</v>
      </c>
      <c r="D76" s="3" t="s">
        <v>423</v>
      </c>
      <c r="E76" s="4">
        <v>46692</v>
      </c>
      <c r="F76" s="4">
        <v>46703</v>
      </c>
      <c r="G76" s="3">
        <v>12</v>
      </c>
      <c r="H76" s="3" t="s">
        <v>73</v>
      </c>
      <c r="I76" s="3" t="s">
        <v>164</v>
      </c>
      <c r="J76" s="3" t="s">
        <v>74</v>
      </c>
      <c r="K76" s="6">
        <v>0</v>
      </c>
      <c r="L76" s="3" t="s">
        <v>418</v>
      </c>
      <c r="M76" s="3" t="s">
        <v>113</v>
      </c>
      <c r="N76" s="3" t="s">
        <v>424</v>
      </c>
      <c r="O76" s="3"/>
      <c r="P76" s="3"/>
      <c r="Q76" s="4">
        <v>46284</v>
      </c>
    </row>
    <row r="77" spans="1:17">
      <c r="A77" s="3" t="s">
        <v>425</v>
      </c>
      <c r="B77" s="3" t="s">
        <v>110</v>
      </c>
      <c r="C77" s="3" t="s">
        <v>419</v>
      </c>
      <c r="D77" s="3" t="s">
        <v>426</v>
      </c>
      <c r="E77" s="4">
        <v>46699</v>
      </c>
      <c r="F77" s="4">
        <v>46710</v>
      </c>
      <c r="G77" s="3">
        <v>12</v>
      </c>
      <c r="H77" s="3" t="s">
        <v>73</v>
      </c>
      <c r="I77" s="3" t="s">
        <v>164</v>
      </c>
      <c r="J77" s="3" t="s">
        <v>74</v>
      </c>
      <c r="K77" s="6">
        <v>0</v>
      </c>
      <c r="L77" s="3" t="s">
        <v>418</v>
      </c>
      <c r="M77" s="3" t="s">
        <v>113</v>
      </c>
      <c r="N77" s="3" t="s">
        <v>427</v>
      </c>
      <c r="O77" s="3"/>
      <c r="P77" s="3"/>
      <c r="Q77" s="4">
        <v>46284</v>
      </c>
    </row>
    <row r="78" spans="1:17">
      <c r="A78" s="3" t="s">
        <v>428</v>
      </c>
      <c r="B78" s="3" t="s">
        <v>110</v>
      </c>
      <c r="C78" s="3" t="s">
        <v>419</v>
      </c>
      <c r="D78" s="3" t="s">
        <v>429</v>
      </c>
      <c r="E78" s="4">
        <v>46706</v>
      </c>
      <c r="F78" s="4">
        <v>46717</v>
      </c>
      <c r="G78" s="3">
        <v>12</v>
      </c>
      <c r="H78" s="3" t="s">
        <v>73</v>
      </c>
      <c r="I78" s="3" t="s">
        <v>155</v>
      </c>
      <c r="J78" s="3" t="s">
        <v>74</v>
      </c>
      <c r="K78" s="6">
        <v>0</v>
      </c>
      <c r="L78" s="3" t="s">
        <v>430</v>
      </c>
      <c r="M78" s="3" t="s">
        <v>113</v>
      </c>
      <c r="N78" s="3" t="s">
        <v>431</v>
      </c>
      <c r="O78" s="3"/>
      <c r="P78" s="3"/>
      <c r="Q78" s="4">
        <v>46284</v>
      </c>
    </row>
    <row r="79" spans="1:17">
      <c r="A79" s="3" t="s">
        <v>432</v>
      </c>
      <c r="B79" s="3" t="s">
        <v>116</v>
      </c>
      <c r="C79" s="3" t="s">
        <v>433</v>
      </c>
      <c r="D79" s="3" t="s">
        <v>434</v>
      </c>
      <c r="E79" s="4">
        <v>46699</v>
      </c>
      <c r="F79" s="4">
        <v>46717</v>
      </c>
      <c r="G79" s="3">
        <v>19</v>
      </c>
      <c r="H79" s="3" t="s">
        <v>73</v>
      </c>
      <c r="I79" s="3" t="s">
        <v>364</v>
      </c>
      <c r="J79" s="3" t="s">
        <v>74</v>
      </c>
      <c r="K79" s="6">
        <v>0</v>
      </c>
      <c r="L79" s="3" t="s">
        <v>252</v>
      </c>
      <c r="M79" s="3" t="s">
        <v>119</v>
      </c>
      <c r="N79" s="3" t="s">
        <v>435</v>
      </c>
      <c r="O79" s="3"/>
      <c r="P79" s="3"/>
      <c r="Q79" s="4">
        <v>46284</v>
      </c>
    </row>
    <row r="80" spans="1:17">
      <c r="A80" s="3" t="s">
        <v>436</v>
      </c>
      <c r="B80" s="3" t="s">
        <v>116</v>
      </c>
      <c r="C80" s="3" t="s">
        <v>433</v>
      </c>
      <c r="D80" s="3" t="s">
        <v>437</v>
      </c>
      <c r="E80" s="4">
        <v>46713</v>
      </c>
      <c r="F80" s="4">
        <v>46731</v>
      </c>
      <c r="G80" s="3">
        <v>19</v>
      </c>
      <c r="H80" s="3" t="s">
        <v>73</v>
      </c>
      <c r="I80" s="3" t="s">
        <v>364</v>
      </c>
      <c r="J80" s="3" t="s">
        <v>74</v>
      </c>
      <c r="K80" s="6">
        <v>0</v>
      </c>
      <c r="L80" s="3" t="s">
        <v>432</v>
      </c>
      <c r="M80" s="3" t="s">
        <v>119</v>
      </c>
      <c r="N80" s="3" t="s">
        <v>438</v>
      </c>
      <c r="O80" s="3"/>
      <c r="P80" s="3"/>
      <c r="Q80" s="4">
        <v>46284</v>
      </c>
    </row>
    <row r="81" spans="1:17">
      <c r="A81" s="3" t="s">
        <v>439</v>
      </c>
      <c r="B81" s="3" t="s">
        <v>116</v>
      </c>
      <c r="C81" s="3" t="s">
        <v>433</v>
      </c>
      <c r="D81" s="3" t="s">
        <v>440</v>
      </c>
      <c r="E81" s="4">
        <v>46727</v>
      </c>
      <c r="F81" s="4">
        <v>46738</v>
      </c>
      <c r="G81" s="3">
        <v>12</v>
      </c>
      <c r="H81" s="3" t="s">
        <v>73</v>
      </c>
      <c r="I81" s="3" t="s">
        <v>441</v>
      </c>
      <c r="J81" s="3" t="s">
        <v>74</v>
      </c>
      <c r="K81" s="6">
        <v>0</v>
      </c>
      <c r="L81" s="3" t="s">
        <v>432</v>
      </c>
      <c r="M81" s="3" t="s">
        <v>119</v>
      </c>
      <c r="N81" s="3" t="s">
        <v>442</v>
      </c>
      <c r="O81" s="3"/>
      <c r="P81" s="3"/>
      <c r="Q81" s="4">
        <v>46284</v>
      </c>
    </row>
    <row r="82" spans="1:17">
      <c r="A82" s="3" t="s">
        <v>443</v>
      </c>
      <c r="B82" s="3" t="s">
        <v>116</v>
      </c>
      <c r="C82" s="3" t="s">
        <v>444</v>
      </c>
      <c r="D82" s="3" t="s">
        <v>445</v>
      </c>
      <c r="E82" s="4">
        <v>46706</v>
      </c>
      <c r="F82" s="4">
        <v>46731</v>
      </c>
      <c r="G82" s="3">
        <v>26</v>
      </c>
      <c r="H82" s="3" t="s">
        <v>73</v>
      </c>
      <c r="I82" s="3" t="s">
        <v>364</v>
      </c>
      <c r="J82" s="3" t="s">
        <v>74</v>
      </c>
      <c r="K82" s="6">
        <v>0</v>
      </c>
      <c r="L82" s="3" t="s">
        <v>446</v>
      </c>
      <c r="M82" s="3" t="s">
        <v>119</v>
      </c>
      <c r="N82" s="3" t="s">
        <v>447</v>
      </c>
      <c r="O82" s="3"/>
      <c r="P82" s="3"/>
      <c r="Q82" s="4">
        <v>46284</v>
      </c>
    </row>
    <row r="83" spans="1:17">
      <c r="A83" s="3" t="s">
        <v>448</v>
      </c>
      <c r="B83" s="3" t="s">
        <v>116</v>
      </c>
      <c r="C83" s="3" t="s">
        <v>444</v>
      </c>
      <c r="D83" s="3" t="s">
        <v>449</v>
      </c>
      <c r="E83" s="4">
        <v>46727</v>
      </c>
      <c r="F83" s="4">
        <v>46745</v>
      </c>
      <c r="G83" s="3">
        <v>19</v>
      </c>
      <c r="H83" s="3" t="s">
        <v>73</v>
      </c>
      <c r="I83" s="3" t="s">
        <v>364</v>
      </c>
      <c r="J83" s="3" t="s">
        <v>74</v>
      </c>
      <c r="K83" s="6">
        <v>0</v>
      </c>
      <c r="L83" s="3" t="s">
        <v>450</v>
      </c>
      <c r="M83" s="3" t="s">
        <v>119</v>
      </c>
      <c r="N83" s="3" t="s">
        <v>451</v>
      </c>
      <c r="O83" s="3"/>
      <c r="P83" s="3"/>
      <c r="Q83" s="4">
        <v>46284</v>
      </c>
    </row>
    <row r="84" spans="1:17">
      <c r="A84" s="3" t="s">
        <v>452</v>
      </c>
      <c r="B84" s="3" t="s">
        <v>116</v>
      </c>
      <c r="C84" s="3" t="s">
        <v>453</v>
      </c>
      <c r="D84" s="3" t="s">
        <v>454</v>
      </c>
      <c r="E84" s="4">
        <v>46720</v>
      </c>
      <c r="F84" s="4">
        <v>46738</v>
      </c>
      <c r="G84" s="3">
        <v>19</v>
      </c>
      <c r="H84" s="3" t="s">
        <v>73</v>
      </c>
      <c r="I84" s="3" t="s">
        <v>364</v>
      </c>
      <c r="J84" s="3" t="s">
        <v>74</v>
      </c>
      <c r="K84" s="6">
        <v>0</v>
      </c>
      <c r="L84" s="3" t="s">
        <v>252</v>
      </c>
      <c r="M84" s="3" t="s">
        <v>119</v>
      </c>
      <c r="N84" s="3" t="s">
        <v>455</v>
      </c>
      <c r="O84" s="3"/>
      <c r="P84" s="3"/>
      <c r="Q84" s="4">
        <v>46284</v>
      </c>
    </row>
    <row r="85" spans="1:17">
      <c r="A85" s="3" t="s">
        <v>456</v>
      </c>
      <c r="B85" s="3" t="s">
        <v>116</v>
      </c>
      <c r="C85" s="3" t="s">
        <v>453</v>
      </c>
      <c r="D85" s="3" t="s">
        <v>457</v>
      </c>
      <c r="E85" s="4">
        <v>46734</v>
      </c>
      <c r="F85" s="4">
        <v>46759</v>
      </c>
      <c r="G85" s="3">
        <v>26</v>
      </c>
      <c r="H85" s="3" t="s">
        <v>73</v>
      </c>
      <c r="I85" s="3" t="s">
        <v>364</v>
      </c>
      <c r="J85" s="3" t="s">
        <v>74</v>
      </c>
      <c r="K85" s="6">
        <v>0</v>
      </c>
      <c r="L85" s="3" t="s">
        <v>452</v>
      </c>
      <c r="M85" s="3" t="s">
        <v>119</v>
      </c>
      <c r="N85" s="3" t="s">
        <v>458</v>
      </c>
      <c r="O85" s="3"/>
      <c r="P85" s="3"/>
      <c r="Q85" s="4">
        <v>46284</v>
      </c>
    </row>
    <row r="86" spans="1:17" ht="28">
      <c r="A86" s="3" t="s">
        <v>459</v>
      </c>
      <c r="B86" s="3" t="s">
        <v>116</v>
      </c>
      <c r="C86" s="3" t="s">
        <v>460</v>
      </c>
      <c r="D86" s="3" t="s">
        <v>461</v>
      </c>
      <c r="E86" s="4">
        <v>46734</v>
      </c>
      <c r="F86" s="4">
        <v>46759</v>
      </c>
      <c r="G86" s="3">
        <v>26</v>
      </c>
      <c r="H86" s="3" t="s">
        <v>73</v>
      </c>
      <c r="I86" s="3" t="s">
        <v>164</v>
      </c>
      <c r="J86" s="3" t="s">
        <v>74</v>
      </c>
      <c r="K86" s="6">
        <v>0</v>
      </c>
      <c r="L86" s="3" t="s">
        <v>233</v>
      </c>
      <c r="M86" s="3" t="s">
        <v>119</v>
      </c>
      <c r="N86" s="3" t="s">
        <v>462</v>
      </c>
      <c r="O86" s="3"/>
      <c r="P86" s="3"/>
      <c r="Q86" s="4">
        <v>46284</v>
      </c>
    </row>
    <row r="87" spans="1:17">
      <c r="A87" s="3" t="s">
        <v>463</v>
      </c>
      <c r="B87" s="3" t="s">
        <v>116</v>
      </c>
      <c r="C87" s="3" t="s">
        <v>460</v>
      </c>
      <c r="D87" s="3" t="s">
        <v>464</v>
      </c>
      <c r="E87" s="4">
        <v>46755</v>
      </c>
      <c r="F87" s="4">
        <v>46766</v>
      </c>
      <c r="G87" s="3">
        <v>12</v>
      </c>
      <c r="H87" s="3" t="s">
        <v>73</v>
      </c>
      <c r="I87" s="3" t="s">
        <v>164</v>
      </c>
      <c r="J87" s="3" t="s">
        <v>74</v>
      </c>
      <c r="K87" s="6">
        <v>0</v>
      </c>
      <c r="L87" s="3" t="s">
        <v>465</v>
      </c>
      <c r="M87" s="3" t="s">
        <v>119</v>
      </c>
      <c r="N87" s="3" t="s">
        <v>466</v>
      </c>
      <c r="O87" s="3"/>
      <c r="P87" s="3"/>
      <c r="Q87" s="4">
        <v>46284</v>
      </c>
    </row>
    <row r="88" spans="1:17">
      <c r="A88" s="3" t="s">
        <v>467</v>
      </c>
      <c r="B88" s="3" t="s">
        <v>122</v>
      </c>
      <c r="C88" s="3" t="s">
        <v>468</v>
      </c>
      <c r="D88" s="3" t="s">
        <v>469</v>
      </c>
      <c r="E88" s="4">
        <v>46734</v>
      </c>
      <c r="F88" s="4">
        <v>46759</v>
      </c>
      <c r="G88" s="3">
        <v>26</v>
      </c>
      <c r="H88" s="3" t="s">
        <v>126</v>
      </c>
      <c r="I88" s="3" t="s">
        <v>155</v>
      </c>
      <c r="J88" s="3" t="s">
        <v>74</v>
      </c>
      <c r="K88" s="6">
        <v>0</v>
      </c>
      <c r="L88" s="3" t="s">
        <v>470</v>
      </c>
      <c r="M88" s="3" t="s">
        <v>125</v>
      </c>
      <c r="N88" s="3" t="s">
        <v>471</v>
      </c>
      <c r="O88" s="3"/>
      <c r="P88" s="3"/>
      <c r="Q88" s="4">
        <v>46284</v>
      </c>
    </row>
    <row r="89" spans="1:17">
      <c r="A89" s="3" t="s">
        <v>472</v>
      </c>
      <c r="B89" s="3" t="s">
        <v>122</v>
      </c>
      <c r="C89" s="3" t="s">
        <v>468</v>
      </c>
      <c r="D89" s="3" t="s">
        <v>473</v>
      </c>
      <c r="E89" s="4">
        <v>46755</v>
      </c>
      <c r="F89" s="4">
        <v>46773</v>
      </c>
      <c r="G89" s="3">
        <v>19</v>
      </c>
      <c r="H89" s="3" t="s">
        <v>126</v>
      </c>
      <c r="I89" s="3" t="s">
        <v>155</v>
      </c>
      <c r="J89" s="3" t="s">
        <v>74</v>
      </c>
      <c r="K89" s="6">
        <v>0</v>
      </c>
      <c r="L89" s="3" t="s">
        <v>467</v>
      </c>
      <c r="M89" s="3" t="s">
        <v>125</v>
      </c>
      <c r="N89" s="3" t="s">
        <v>474</v>
      </c>
      <c r="O89" s="3"/>
      <c r="P89" s="3"/>
      <c r="Q89" s="4">
        <v>46284</v>
      </c>
    </row>
    <row r="90" spans="1:17">
      <c r="A90" s="3" t="s">
        <v>475</v>
      </c>
      <c r="B90" s="3" t="s">
        <v>122</v>
      </c>
      <c r="C90" s="3" t="s">
        <v>468</v>
      </c>
      <c r="D90" s="3" t="s">
        <v>476</v>
      </c>
      <c r="E90" s="4">
        <v>46769</v>
      </c>
      <c r="F90" s="4">
        <v>46787</v>
      </c>
      <c r="G90" s="3">
        <v>19</v>
      </c>
      <c r="H90" s="3" t="s">
        <v>126</v>
      </c>
      <c r="I90" s="3" t="s">
        <v>155</v>
      </c>
      <c r="J90" s="3" t="s">
        <v>74</v>
      </c>
      <c r="K90" s="6">
        <v>0</v>
      </c>
      <c r="L90" s="3" t="s">
        <v>472</v>
      </c>
      <c r="M90" s="3" t="s">
        <v>125</v>
      </c>
      <c r="N90" s="3" t="s">
        <v>477</v>
      </c>
      <c r="O90" s="3"/>
      <c r="P90" s="3"/>
      <c r="Q90" s="4">
        <v>46284</v>
      </c>
    </row>
    <row r="91" spans="1:17">
      <c r="A91" s="3" t="s">
        <v>478</v>
      </c>
      <c r="B91" s="3" t="s">
        <v>122</v>
      </c>
      <c r="C91" s="3" t="s">
        <v>479</v>
      </c>
      <c r="D91" s="3" t="s">
        <v>480</v>
      </c>
      <c r="E91" s="4">
        <v>46741</v>
      </c>
      <c r="F91" s="4">
        <v>46766</v>
      </c>
      <c r="G91" s="3">
        <v>26</v>
      </c>
      <c r="H91" s="3" t="s">
        <v>126</v>
      </c>
      <c r="I91" s="3" t="s">
        <v>164</v>
      </c>
      <c r="J91" s="3" t="s">
        <v>74</v>
      </c>
      <c r="K91" s="6">
        <v>0</v>
      </c>
      <c r="L91" s="3" t="s">
        <v>195</v>
      </c>
      <c r="M91" s="3" t="s">
        <v>125</v>
      </c>
      <c r="N91" s="3" t="s">
        <v>481</v>
      </c>
      <c r="O91" s="3"/>
      <c r="P91" s="3"/>
      <c r="Q91" s="4">
        <v>46284</v>
      </c>
    </row>
    <row r="92" spans="1:17">
      <c r="A92" s="3" t="s">
        <v>482</v>
      </c>
      <c r="B92" s="3" t="s">
        <v>122</v>
      </c>
      <c r="C92" s="3" t="s">
        <v>479</v>
      </c>
      <c r="D92" s="3" t="s">
        <v>483</v>
      </c>
      <c r="E92" s="4">
        <v>46755</v>
      </c>
      <c r="F92" s="4">
        <v>46773</v>
      </c>
      <c r="G92" s="3">
        <v>19</v>
      </c>
      <c r="H92" s="3" t="s">
        <v>126</v>
      </c>
      <c r="I92" s="3" t="s">
        <v>164</v>
      </c>
      <c r="J92" s="3" t="s">
        <v>74</v>
      </c>
      <c r="K92" s="6">
        <v>0</v>
      </c>
      <c r="L92" s="3" t="s">
        <v>478</v>
      </c>
      <c r="M92" s="3" t="s">
        <v>125</v>
      </c>
      <c r="N92" s="3" t="s">
        <v>484</v>
      </c>
      <c r="O92" s="3"/>
      <c r="P92" s="3"/>
      <c r="Q92" s="4">
        <v>46284</v>
      </c>
    </row>
    <row r="93" spans="1:17">
      <c r="A93" s="3" t="s">
        <v>485</v>
      </c>
      <c r="B93" s="3" t="s">
        <v>122</v>
      </c>
      <c r="C93" s="3" t="s">
        <v>196</v>
      </c>
      <c r="D93" s="3" t="s">
        <v>486</v>
      </c>
      <c r="E93" s="4">
        <v>46769</v>
      </c>
      <c r="F93" s="4">
        <v>46787</v>
      </c>
      <c r="G93" s="3">
        <v>19</v>
      </c>
      <c r="H93" s="3" t="s">
        <v>126</v>
      </c>
      <c r="I93" s="3" t="s">
        <v>155</v>
      </c>
      <c r="J93" s="3" t="s">
        <v>74</v>
      </c>
      <c r="K93" s="6">
        <v>0</v>
      </c>
      <c r="L93" s="3" t="s">
        <v>487</v>
      </c>
      <c r="M93" s="3" t="s">
        <v>125</v>
      </c>
      <c r="N93" s="3" t="s">
        <v>488</v>
      </c>
      <c r="O93" s="3"/>
      <c r="P93" s="3"/>
      <c r="Q93" s="4">
        <v>46284</v>
      </c>
    </row>
    <row r="94" spans="1:17">
      <c r="A94" s="3" t="s">
        <v>489</v>
      </c>
      <c r="B94" s="3" t="s">
        <v>122</v>
      </c>
      <c r="C94" s="3" t="s">
        <v>185</v>
      </c>
      <c r="D94" s="3" t="s">
        <v>490</v>
      </c>
      <c r="E94" s="4">
        <v>46783</v>
      </c>
      <c r="F94" s="4">
        <v>46794</v>
      </c>
      <c r="G94" s="3">
        <v>12</v>
      </c>
      <c r="H94" s="3" t="s">
        <v>126</v>
      </c>
      <c r="I94" s="3" t="s">
        <v>155</v>
      </c>
      <c r="J94" s="3" t="s">
        <v>74</v>
      </c>
      <c r="K94" s="6">
        <v>0</v>
      </c>
      <c r="L94" s="3" t="s">
        <v>475</v>
      </c>
      <c r="M94" s="3" t="s">
        <v>125</v>
      </c>
      <c r="N94" s="3" t="s">
        <v>491</v>
      </c>
      <c r="O94" s="3"/>
      <c r="P94" s="3"/>
      <c r="Q94" s="4">
        <v>46284</v>
      </c>
    </row>
    <row r="95" spans="1:17">
      <c r="A95" s="3" t="s">
        <v>492</v>
      </c>
      <c r="B95" s="3" t="s">
        <v>129</v>
      </c>
      <c r="C95" s="3" t="s">
        <v>493</v>
      </c>
      <c r="D95" s="3" t="s">
        <v>494</v>
      </c>
      <c r="E95" s="4">
        <v>46769</v>
      </c>
      <c r="F95" s="4">
        <v>46787</v>
      </c>
      <c r="G95" s="3">
        <v>19</v>
      </c>
      <c r="H95" s="3" t="s">
        <v>73</v>
      </c>
      <c r="I95" s="3" t="s">
        <v>164</v>
      </c>
      <c r="J95" s="3" t="s">
        <v>74</v>
      </c>
      <c r="K95" s="6">
        <v>0</v>
      </c>
      <c r="L95" s="3" t="s">
        <v>495</v>
      </c>
      <c r="M95" s="3" t="s">
        <v>132</v>
      </c>
      <c r="N95" s="3" t="s">
        <v>496</v>
      </c>
      <c r="O95" s="3"/>
      <c r="P95" s="3"/>
      <c r="Q95" s="4">
        <v>46284</v>
      </c>
    </row>
    <row r="96" spans="1:17">
      <c r="A96" s="3" t="s">
        <v>497</v>
      </c>
      <c r="B96" s="3" t="s">
        <v>129</v>
      </c>
      <c r="C96" s="3" t="s">
        <v>498</v>
      </c>
      <c r="D96" s="3" t="s">
        <v>499</v>
      </c>
      <c r="E96" s="4">
        <v>46783</v>
      </c>
      <c r="F96" s="4">
        <v>46801</v>
      </c>
      <c r="G96" s="3">
        <v>19</v>
      </c>
      <c r="H96" s="3" t="s">
        <v>73</v>
      </c>
      <c r="I96" s="3" t="s">
        <v>164</v>
      </c>
      <c r="J96" s="3" t="s">
        <v>74</v>
      </c>
      <c r="K96" s="6">
        <v>0</v>
      </c>
      <c r="L96" s="3" t="s">
        <v>489</v>
      </c>
      <c r="M96" s="3" t="s">
        <v>132</v>
      </c>
      <c r="N96" s="3" t="s">
        <v>500</v>
      </c>
      <c r="O96" s="3"/>
      <c r="P96" s="3"/>
      <c r="Q96" s="4">
        <v>46284</v>
      </c>
    </row>
    <row r="97" spans="1:17" ht="28">
      <c r="A97" s="3" t="s">
        <v>501</v>
      </c>
      <c r="B97" s="3" t="s">
        <v>129</v>
      </c>
      <c r="C97" s="3" t="s">
        <v>502</v>
      </c>
      <c r="D97" s="3" t="s">
        <v>503</v>
      </c>
      <c r="E97" s="4">
        <v>46790</v>
      </c>
      <c r="F97" s="4">
        <v>46808</v>
      </c>
      <c r="G97" s="3">
        <v>19</v>
      </c>
      <c r="H97" s="3" t="s">
        <v>73</v>
      </c>
      <c r="I97" s="3" t="s">
        <v>164</v>
      </c>
      <c r="J97" s="3" t="s">
        <v>74</v>
      </c>
      <c r="K97" s="6">
        <v>0</v>
      </c>
      <c r="L97" s="3" t="s">
        <v>504</v>
      </c>
      <c r="M97" s="3" t="s">
        <v>132</v>
      </c>
      <c r="N97" s="3" t="s">
        <v>505</v>
      </c>
      <c r="O97" s="3"/>
      <c r="P97" s="3"/>
      <c r="Q97" s="4">
        <v>46284</v>
      </c>
    </row>
    <row r="98" spans="1:17">
      <c r="A98" s="3" t="s">
        <v>506</v>
      </c>
      <c r="B98" s="3" t="s">
        <v>129</v>
      </c>
      <c r="C98" s="3" t="s">
        <v>507</v>
      </c>
      <c r="D98" s="3" t="s">
        <v>508</v>
      </c>
      <c r="E98" s="4">
        <v>46783</v>
      </c>
      <c r="F98" s="4">
        <v>46808</v>
      </c>
      <c r="G98" s="3">
        <v>26</v>
      </c>
      <c r="H98" s="3" t="s">
        <v>73</v>
      </c>
      <c r="I98" s="3" t="s">
        <v>164</v>
      </c>
      <c r="J98" s="3" t="s">
        <v>74</v>
      </c>
      <c r="K98" s="6">
        <v>0</v>
      </c>
      <c r="L98" s="3" t="s">
        <v>509</v>
      </c>
      <c r="M98" s="3" t="s">
        <v>132</v>
      </c>
      <c r="N98" s="3" t="s">
        <v>510</v>
      </c>
      <c r="O98" s="3"/>
      <c r="P98" s="3"/>
      <c r="Q98" s="4">
        <v>46284</v>
      </c>
    </row>
    <row r="99" spans="1:17">
      <c r="A99" s="3" t="s">
        <v>511</v>
      </c>
      <c r="B99" s="3" t="s">
        <v>129</v>
      </c>
      <c r="C99" s="3" t="s">
        <v>512</v>
      </c>
      <c r="D99" s="3" t="s">
        <v>513</v>
      </c>
      <c r="E99" s="4">
        <v>46797</v>
      </c>
      <c r="F99" s="4">
        <v>46815</v>
      </c>
      <c r="G99" s="3">
        <v>19</v>
      </c>
      <c r="H99" s="3" t="s">
        <v>73</v>
      </c>
      <c r="I99" s="3" t="s">
        <v>155</v>
      </c>
      <c r="J99" s="3" t="s">
        <v>74</v>
      </c>
      <c r="K99" s="6">
        <v>0</v>
      </c>
      <c r="L99" s="3" t="s">
        <v>514</v>
      </c>
      <c r="M99" s="3" t="s">
        <v>132</v>
      </c>
      <c r="N99" s="3" t="s">
        <v>515</v>
      </c>
      <c r="O99" s="3"/>
      <c r="P99" s="3"/>
      <c r="Q99" s="4">
        <v>46284</v>
      </c>
    </row>
    <row r="100" spans="1:17">
      <c r="A100" s="3" t="s">
        <v>516</v>
      </c>
      <c r="B100" s="3" t="s">
        <v>129</v>
      </c>
      <c r="C100" s="3" t="s">
        <v>512</v>
      </c>
      <c r="D100" s="3" t="s">
        <v>517</v>
      </c>
      <c r="E100" s="4">
        <v>46804</v>
      </c>
      <c r="F100" s="4">
        <v>46822</v>
      </c>
      <c r="G100" s="3">
        <v>19</v>
      </c>
      <c r="H100" s="3" t="s">
        <v>73</v>
      </c>
      <c r="I100" s="3" t="s">
        <v>364</v>
      </c>
      <c r="J100" s="3" t="s">
        <v>74</v>
      </c>
      <c r="K100" s="6">
        <v>0</v>
      </c>
      <c r="L100" s="3" t="s">
        <v>518</v>
      </c>
      <c r="M100" s="3" t="s">
        <v>132</v>
      </c>
      <c r="N100" s="3" t="s">
        <v>519</v>
      </c>
      <c r="O100" s="3"/>
      <c r="P100" s="3"/>
      <c r="Q100" s="4">
        <v>46284</v>
      </c>
    </row>
    <row r="101" spans="1:17">
      <c r="A101" s="3" t="s">
        <v>520</v>
      </c>
      <c r="B101" s="3" t="s">
        <v>129</v>
      </c>
      <c r="C101" s="3" t="s">
        <v>512</v>
      </c>
      <c r="D101" s="3" t="s">
        <v>521</v>
      </c>
      <c r="E101" s="4">
        <v>46804</v>
      </c>
      <c r="F101" s="4">
        <v>46822</v>
      </c>
      <c r="G101" s="3">
        <v>19</v>
      </c>
      <c r="H101" s="3" t="s">
        <v>73</v>
      </c>
      <c r="I101" s="3" t="s">
        <v>364</v>
      </c>
      <c r="J101" s="3" t="s">
        <v>74</v>
      </c>
      <c r="K101" s="6">
        <v>0</v>
      </c>
      <c r="L101" s="3" t="s">
        <v>522</v>
      </c>
      <c r="M101" s="3" t="s">
        <v>132</v>
      </c>
      <c r="N101" s="3" t="s">
        <v>523</v>
      </c>
      <c r="O101" s="3"/>
      <c r="P101" s="3"/>
      <c r="Q101" s="4">
        <v>46284</v>
      </c>
    </row>
    <row r="102" spans="1:17">
      <c r="A102" s="3" t="s">
        <v>524</v>
      </c>
      <c r="B102" s="3" t="s">
        <v>129</v>
      </c>
      <c r="C102" s="3" t="s">
        <v>512</v>
      </c>
      <c r="D102" s="3" t="s">
        <v>525</v>
      </c>
      <c r="E102" s="4">
        <v>46811</v>
      </c>
      <c r="F102" s="4">
        <v>46829</v>
      </c>
      <c r="G102" s="3">
        <v>19</v>
      </c>
      <c r="H102" s="3" t="s">
        <v>73</v>
      </c>
      <c r="I102" s="3" t="s">
        <v>164</v>
      </c>
      <c r="J102" s="3" t="s">
        <v>74</v>
      </c>
      <c r="K102" s="6">
        <v>0</v>
      </c>
      <c r="L102" s="3" t="s">
        <v>526</v>
      </c>
      <c r="M102" s="3" t="s">
        <v>132</v>
      </c>
      <c r="N102" s="3" t="s">
        <v>527</v>
      </c>
      <c r="O102" s="3"/>
      <c r="P102" s="3"/>
      <c r="Q102" s="4">
        <v>46284</v>
      </c>
    </row>
    <row r="103" spans="1:17">
      <c r="A103" s="3" t="s">
        <v>528</v>
      </c>
      <c r="B103" s="3" t="s">
        <v>129</v>
      </c>
      <c r="C103" s="3" t="s">
        <v>512</v>
      </c>
      <c r="D103" s="3" t="s">
        <v>529</v>
      </c>
      <c r="E103" s="4">
        <v>46818</v>
      </c>
      <c r="F103" s="4">
        <v>46829</v>
      </c>
      <c r="G103" s="3">
        <v>12</v>
      </c>
      <c r="H103" s="3" t="s">
        <v>73</v>
      </c>
      <c r="I103" s="3" t="s">
        <v>364</v>
      </c>
      <c r="J103" s="3" t="s">
        <v>74</v>
      </c>
      <c r="K103" s="6">
        <v>0</v>
      </c>
      <c r="L103" s="3" t="s">
        <v>506</v>
      </c>
      <c r="M103" s="3" t="s">
        <v>132</v>
      </c>
      <c r="N103" s="3" t="s">
        <v>530</v>
      </c>
      <c r="O103" s="3"/>
      <c r="P103" s="3"/>
      <c r="Q103" s="4">
        <v>46284</v>
      </c>
    </row>
    <row r="104" spans="1:17">
      <c r="A104" s="3" t="s">
        <v>531</v>
      </c>
      <c r="B104" s="3" t="s">
        <v>135</v>
      </c>
      <c r="C104" s="3" t="s">
        <v>532</v>
      </c>
      <c r="D104" s="3" t="s">
        <v>533</v>
      </c>
      <c r="E104" s="4">
        <v>46813</v>
      </c>
      <c r="F104" s="4">
        <v>46836</v>
      </c>
      <c r="G104" s="3">
        <v>24</v>
      </c>
      <c r="H104" s="3" t="s">
        <v>126</v>
      </c>
      <c r="I104" s="3" t="s">
        <v>155</v>
      </c>
      <c r="J104" s="3" t="s">
        <v>74</v>
      </c>
      <c r="K104" s="6">
        <v>0</v>
      </c>
      <c r="L104" s="3" t="s">
        <v>534</v>
      </c>
      <c r="M104" s="3" t="s">
        <v>138</v>
      </c>
      <c r="N104" s="3" t="s">
        <v>535</v>
      </c>
      <c r="O104" s="3"/>
      <c r="P104" s="3"/>
      <c r="Q104" s="4">
        <v>46284</v>
      </c>
    </row>
    <row r="105" spans="1:17" ht="28">
      <c r="A105" s="3" t="s">
        <v>536</v>
      </c>
      <c r="B105" s="3" t="s">
        <v>135</v>
      </c>
      <c r="C105" s="3" t="s">
        <v>185</v>
      </c>
      <c r="D105" s="3" t="s">
        <v>537</v>
      </c>
      <c r="E105" s="4">
        <v>46820</v>
      </c>
      <c r="F105" s="4">
        <v>46843</v>
      </c>
      <c r="G105" s="3">
        <v>24</v>
      </c>
      <c r="H105" s="3" t="s">
        <v>126</v>
      </c>
      <c r="I105" s="3" t="s">
        <v>155</v>
      </c>
      <c r="J105" s="3" t="s">
        <v>74</v>
      </c>
      <c r="K105" s="6">
        <v>0</v>
      </c>
      <c r="L105" s="3" t="s">
        <v>528</v>
      </c>
      <c r="M105" s="3" t="s">
        <v>138</v>
      </c>
      <c r="N105" s="3" t="s">
        <v>538</v>
      </c>
      <c r="O105" s="3"/>
      <c r="P105" s="3"/>
      <c r="Q105" s="4">
        <v>46284</v>
      </c>
    </row>
    <row r="106" spans="1:17">
      <c r="A106" s="3" t="s">
        <v>539</v>
      </c>
      <c r="B106" s="3" t="s">
        <v>135</v>
      </c>
      <c r="C106" s="3" t="s">
        <v>540</v>
      </c>
      <c r="D106" s="3" t="s">
        <v>541</v>
      </c>
      <c r="E106" s="4">
        <v>46820</v>
      </c>
      <c r="F106" s="4">
        <v>46843</v>
      </c>
      <c r="G106" s="3">
        <v>24</v>
      </c>
      <c r="H106" s="3" t="s">
        <v>126</v>
      </c>
      <c r="I106" s="3" t="s">
        <v>164</v>
      </c>
      <c r="J106" s="3" t="s">
        <v>74</v>
      </c>
      <c r="K106" s="6">
        <v>0</v>
      </c>
      <c r="L106" s="3" t="s">
        <v>528</v>
      </c>
      <c r="M106" s="3" t="s">
        <v>138</v>
      </c>
      <c r="N106" s="3" t="s">
        <v>542</v>
      </c>
      <c r="O106" s="3"/>
      <c r="P106" s="3"/>
      <c r="Q106" s="4">
        <v>46284</v>
      </c>
    </row>
    <row r="107" spans="1:17" ht="28">
      <c r="A107" s="3" t="s">
        <v>543</v>
      </c>
      <c r="B107" s="3" t="s">
        <v>135</v>
      </c>
      <c r="C107" s="3" t="s">
        <v>544</v>
      </c>
      <c r="D107" s="3" t="s">
        <v>545</v>
      </c>
      <c r="E107" s="4">
        <v>46827</v>
      </c>
      <c r="F107" s="4">
        <v>46847</v>
      </c>
      <c r="G107" s="3">
        <v>21</v>
      </c>
      <c r="H107" s="3" t="s">
        <v>126</v>
      </c>
      <c r="I107" s="3" t="s">
        <v>155</v>
      </c>
      <c r="J107" s="3" t="s">
        <v>74</v>
      </c>
      <c r="K107" s="6">
        <v>0</v>
      </c>
      <c r="L107" s="3" t="s">
        <v>528</v>
      </c>
      <c r="M107" s="3" t="s">
        <v>138</v>
      </c>
      <c r="N107" s="3" t="s">
        <v>546</v>
      </c>
      <c r="O107" s="3"/>
      <c r="P107" s="3"/>
      <c r="Q107" s="4">
        <v>46284</v>
      </c>
    </row>
    <row r="108" spans="1:17" ht="28">
      <c r="A108" s="3" t="s">
        <v>547</v>
      </c>
      <c r="B108" s="3" t="s">
        <v>135</v>
      </c>
      <c r="C108" s="3" t="s">
        <v>548</v>
      </c>
      <c r="D108" s="3" t="s">
        <v>549</v>
      </c>
      <c r="E108" s="4">
        <v>46834</v>
      </c>
      <c r="F108" s="4">
        <v>46847</v>
      </c>
      <c r="G108" s="3">
        <v>14</v>
      </c>
      <c r="H108" s="3" t="s">
        <v>126</v>
      </c>
      <c r="I108" s="3" t="s">
        <v>155</v>
      </c>
      <c r="J108" s="3" t="s">
        <v>74</v>
      </c>
      <c r="K108" s="6">
        <v>0</v>
      </c>
      <c r="L108" s="3" t="s">
        <v>550</v>
      </c>
      <c r="M108" s="3" t="s">
        <v>138</v>
      </c>
      <c r="N108" s="3" t="s">
        <v>551</v>
      </c>
      <c r="O108" s="3"/>
      <c r="P108" s="3"/>
      <c r="Q108" s="4">
        <v>46284</v>
      </c>
    </row>
    <row r="109" spans="1:17">
      <c r="A109" s="3" t="s">
        <v>552</v>
      </c>
      <c r="B109" s="3" t="s">
        <v>135</v>
      </c>
      <c r="C109" s="3" t="s">
        <v>553</v>
      </c>
      <c r="D109" s="3" t="s">
        <v>554</v>
      </c>
      <c r="E109" s="4">
        <v>46827</v>
      </c>
      <c r="F109" s="4">
        <v>46850</v>
      </c>
      <c r="G109" s="3">
        <v>24</v>
      </c>
      <c r="H109" s="3" t="s">
        <v>73</v>
      </c>
      <c r="I109" s="3" t="s">
        <v>164</v>
      </c>
      <c r="J109" s="3" t="s">
        <v>74</v>
      </c>
      <c r="K109" s="6">
        <v>0</v>
      </c>
      <c r="L109" s="3" t="s">
        <v>528</v>
      </c>
      <c r="M109" s="3" t="s">
        <v>138</v>
      </c>
      <c r="N109" s="3" t="s">
        <v>555</v>
      </c>
      <c r="O109" s="3"/>
      <c r="P109" s="3"/>
      <c r="Q109" s="4">
        <v>46284</v>
      </c>
    </row>
    <row r="110" spans="1:17" ht="28">
      <c r="A110" s="3" t="s">
        <v>556</v>
      </c>
      <c r="B110" s="3" t="s">
        <v>135</v>
      </c>
      <c r="C110" s="3" t="s">
        <v>148</v>
      </c>
      <c r="D110" s="3" t="s">
        <v>557</v>
      </c>
      <c r="E110" s="4">
        <v>46844</v>
      </c>
      <c r="F110" s="4">
        <v>46853</v>
      </c>
      <c r="G110" s="3">
        <v>10</v>
      </c>
      <c r="H110" s="3" t="s">
        <v>126</v>
      </c>
      <c r="I110" s="3" t="s">
        <v>155</v>
      </c>
      <c r="J110" s="3" t="s">
        <v>74</v>
      </c>
      <c r="K110" s="6">
        <v>0</v>
      </c>
      <c r="L110" s="3" t="s">
        <v>558</v>
      </c>
      <c r="M110" s="3" t="s">
        <v>138</v>
      </c>
      <c r="N110" s="3" t="s">
        <v>559</v>
      </c>
      <c r="O110" s="3"/>
      <c r="P110" s="3"/>
      <c r="Q110" s="4">
        <v>46284</v>
      </c>
    </row>
    <row r="111" spans="1:17">
      <c r="A111" s="3" t="s">
        <v>560</v>
      </c>
      <c r="B111" s="3" t="s">
        <v>135</v>
      </c>
      <c r="C111" s="3" t="s">
        <v>148</v>
      </c>
      <c r="D111" s="3" t="s">
        <v>561</v>
      </c>
      <c r="E111" s="4">
        <v>46854</v>
      </c>
      <c r="F111" s="4">
        <v>46857</v>
      </c>
      <c r="G111" s="3">
        <v>4</v>
      </c>
      <c r="H111" s="3" t="s">
        <v>65</v>
      </c>
      <c r="I111" s="3" t="s">
        <v>155</v>
      </c>
      <c r="J111" s="3" t="s">
        <v>74</v>
      </c>
      <c r="K111" s="6">
        <v>0</v>
      </c>
      <c r="L111" s="3" t="s">
        <v>552</v>
      </c>
      <c r="M111" s="3" t="s">
        <v>138</v>
      </c>
      <c r="N111" s="3" t="s">
        <v>562</v>
      </c>
      <c r="O111" s="3"/>
      <c r="P111" s="3"/>
      <c r="Q111" s="4">
        <v>46284</v>
      </c>
    </row>
  </sheetData>
  <mergeCells count="1">
    <mergeCell ref="A1:Q1"/>
  </mergeCells>
  <conditionalFormatting sqref="J4:J111">
    <cfRule type="expression" dxfId="3" priority="1">
      <formula>J4="Done"</formula>
    </cfRule>
    <cfRule type="expression" dxfId="2" priority="2">
      <formula>J4="In Progress"</formula>
    </cfRule>
    <cfRule type="expression" dxfId="1" priority="3">
      <formula>J4="At Risk"</formula>
    </cfRule>
    <cfRule type="expression" dxfId="0" priority="4">
      <formula>J4="Blocked"</formula>
    </cfRule>
  </conditionalFormatting>
  <conditionalFormatting sqref="K4:K111">
    <cfRule type="dataBar" priority="5">
      <dataBar>
        <cfvo type="min"/>
        <cfvo type="max"/>
        <color rgb="FF5B9BD5"/>
      </dataBar>
    </cfRule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{DF1BCABB-AF87-974B-40DB-034F8B5E1B34}</x14:id>
        </ext>
      </extLst>
    </cfRule>
  </conditionalFormatting>
  <dataValidations count="2">
    <dataValidation type="list" sqref="I4:I111" xr:uid="{00000000-0002-0000-0200-000000000000}">
      <formula1>"Critical,High,Medium,Low"</formula1>
    </dataValidation>
    <dataValidation type="list" sqref="J4:J111" xr:uid="{00000000-0002-0000-0200-000001000000}">
      <formula1>"Not Started,In Progress,Blocked,At Risk,Done"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1BCABB-AF87-974B-40DB-034F8B5E1B34}">
            <x14:dataBar>
              <x14:cfvo type="min"/>
              <x14:cfvo type="max"/>
              <x14:negativeFillColor auto="1"/>
              <x14:axisColor auto="1"/>
            </x14:dataBar>
          </x14:cfRule>
          <xm:sqref>K4:K111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sqref="A1:I1"/>
    </sheetView>
  </sheetViews>
  <sheetFormatPr defaultRowHeight="14"/>
  <cols>
    <col min="1" max="1" width="8" customWidth="1"/>
    <col min="2" max="2" width="25" customWidth="1"/>
    <col min="3" max="3" width="13" customWidth="1"/>
    <col min="4" max="4" width="10" customWidth="1"/>
    <col min="5" max="5" width="43" customWidth="1"/>
    <col min="6" max="6" width="24" customWidth="1"/>
    <col min="7" max="7" width="15" customWidth="1"/>
    <col min="8" max="8" width="42" customWidth="1"/>
    <col min="9" max="9" width="30" customWidth="1"/>
  </cols>
  <sheetData>
    <row r="1" spans="1:9" ht="20">
      <c r="A1" s="11" t="s">
        <v>563</v>
      </c>
      <c r="B1" s="11"/>
      <c r="C1" s="11"/>
      <c r="D1" s="11"/>
      <c r="E1" s="11"/>
      <c r="F1" s="11"/>
      <c r="G1" s="11"/>
      <c r="H1" s="11"/>
      <c r="I1" s="11"/>
    </row>
    <row r="3" spans="1:9">
      <c r="A3" s="1" t="s">
        <v>142</v>
      </c>
      <c r="B3" s="1" t="s">
        <v>564</v>
      </c>
      <c r="C3" s="1" t="s">
        <v>565</v>
      </c>
      <c r="D3" s="1" t="s">
        <v>50</v>
      </c>
      <c r="E3" s="1" t="s">
        <v>566</v>
      </c>
      <c r="F3" s="1" t="s">
        <v>567</v>
      </c>
      <c r="G3" s="1" t="s">
        <v>58</v>
      </c>
      <c r="H3" s="1" t="s">
        <v>568</v>
      </c>
      <c r="I3" s="1" t="s">
        <v>569</v>
      </c>
    </row>
    <row r="4" spans="1:9">
      <c r="A4" s="3" t="s">
        <v>570</v>
      </c>
      <c r="B4" s="3" t="s">
        <v>64</v>
      </c>
      <c r="C4" s="4">
        <v>46311</v>
      </c>
      <c r="D4" s="3" t="s">
        <v>61</v>
      </c>
      <c r="E4" s="3" t="s">
        <v>571</v>
      </c>
      <c r="F4" s="3" t="s">
        <v>572</v>
      </c>
      <c r="G4" s="3" t="s">
        <v>66</v>
      </c>
      <c r="H4" s="3" t="s">
        <v>573</v>
      </c>
      <c r="I4" s="3" t="s">
        <v>574</v>
      </c>
    </row>
    <row r="5" spans="1:9" ht="28">
      <c r="A5" s="3" t="s">
        <v>575</v>
      </c>
      <c r="B5" s="3" t="s">
        <v>72</v>
      </c>
      <c r="C5" s="4">
        <v>46367</v>
      </c>
      <c r="D5" s="3" t="s">
        <v>69</v>
      </c>
      <c r="E5" s="3" t="s">
        <v>576</v>
      </c>
      <c r="F5" s="3" t="s">
        <v>73</v>
      </c>
      <c r="G5" s="3" t="s">
        <v>74</v>
      </c>
      <c r="H5" s="3" t="s">
        <v>577</v>
      </c>
      <c r="I5" s="3" t="s">
        <v>578</v>
      </c>
    </row>
    <row r="6" spans="1:9" ht="28">
      <c r="A6" s="3" t="s">
        <v>579</v>
      </c>
      <c r="B6" s="3" t="s">
        <v>79</v>
      </c>
      <c r="C6" s="4">
        <v>46430</v>
      </c>
      <c r="D6" s="3" t="s">
        <v>76</v>
      </c>
      <c r="E6" s="3" t="s">
        <v>580</v>
      </c>
      <c r="F6" s="3" t="s">
        <v>73</v>
      </c>
      <c r="G6" s="3" t="s">
        <v>74</v>
      </c>
      <c r="H6" s="3" t="s">
        <v>581</v>
      </c>
      <c r="I6" s="3" t="s">
        <v>582</v>
      </c>
    </row>
    <row r="7" spans="1:9" ht="28">
      <c r="A7" s="3" t="s">
        <v>583</v>
      </c>
      <c r="B7" s="3" t="s">
        <v>84</v>
      </c>
      <c r="C7" s="4">
        <v>46486</v>
      </c>
      <c r="D7" s="3" t="s">
        <v>81</v>
      </c>
      <c r="E7" s="3" t="s">
        <v>584</v>
      </c>
      <c r="F7" s="3" t="s">
        <v>73</v>
      </c>
      <c r="G7" s="3" t="s">
        <v>74</v>
      </c>
      <c r="H7" s="3" t="s">
        <v>585</v>
      </c>
      <c r="I7" s="3" t="s">
        <v>586</v>
      </c>
    </row>
    <row r="8" spans="1:9" ht="28">
      <c r="A8" s="3" t="s">
        <v>587</v>
      </c>
      <c r="B8" s="3" t="s">
        <v>95</v>
      </c>
      <c r="C8" s="4">
        <v>46563</v>
      </c>
      <c r="D8" s="3" t="s">
        <v>92</v>
      </c>
      <c r="E8" s="3" t="s">
        <v>588</v>
      </c>
      <c r="F8" s="3" t="s">
        <v>73</v>
      </c>
      <c r="G8" s="3" t="s">
        <v>74</v>
      </c>
      <c r="H8" s="3" t="s">
        <v>589</v>
      </c>
      <c r="I8" s="3" t="s">
        <v>590</v>
      </c>
    </row>
    <row r="9" spans="1:9">
      <c r="A9" s="3" t="s">
        <v>591</v>
      </c>
      <c r="B9" s="3" t="s">
        <v>101</v>
      </c>
      <c r="C9" s="4">
        <v>46619</v>
      </c>
      <c r="D9" s="3" t="s">
        <v>98</v>
      </c>
      <c r="E9" s="3" t="s">
        <v>592</v>
      </c>
      <c r="F9" s="3" t="s">
        <v>593</v>
      </c>
      <c r="G9" s="3" t="s">
        <v>74</v>
      </c>
      <c r="H9" s="3" t="s">
        <v>594</v>
      </c>
      <c r="I9" s="3" t="s">
        <v>595</v>
      </c>
    </row>
    <row r="10" spans="1:9" ht="28">
      <c r="A10" s="3" t="s">
        <v>596</v>
      </c>
      <c r="B10" s="3" t="s">
        <v>107</v>
      </c>
      <c r="C10" s="4">
        <v>46682</v>
      </c>
      <c r="D10" s="3" t="s">
        <v>104</v>
      </c>
      <c r="E10" s="3" t="s">
        <v>597</v>
      </c>
      <c r="F10" s="3" t="s">
        <v>65</v>
      </c>
      <c r="G10" s="3" t="s">
        <v>74</v>
      </c>
      <c r="H10" s="3" t="s">
        <v>598</v>
      </c>
      <c r="I10" s="3" t="s">
        <v>599</v>
      </c>
    </row>
    <row r="11" spans="1:9">
      <c r="A11" s="3" t="s">
        <v>600</v>
      </c>
      <c r="B11" s="3" t="s">
        <v>119</v>
      </c>
      <c r="C11" s="4">
        <v>46766</v>
      </c>
      <c r="D11" s="3" t="s">
        <v>116</v>
      </c>
      <c r="E11" s="3" t="s">
        <v>601</v>
      </c>
      <c r="F11" s="3" t="s">
        <v>73</v>
      </c>
      <c r="G11" s="3" t="s">
        <v>74</v>
      </c>
      <c r="H11" s="3" t="s">
        <v>602</v>
      </c>
      <c r="I11" s="3" t="s">
        <v>603</v>
      </c>
    </row>
    <row r="12" spans="1:9" ht="28">
      <c r="A12" s="3" t="s">
        <v>604</v>
      </c>
      <c r="B12" s="3" t="s">
        <v>125</v>
      </c>
      <c r="C12" s="4">
        <v>46794</v>
      </c>
      <c r="D12" s="3" t="s">
        <v>122</v>
      </c>
      <c r="E12" s="3" t="s">
        <v>605</v>
      </c>
      <c r="F12" s="3" t="s">
        <v>126</v>
      </c>
      <c r="G12" s="3" t="s">
        <v>74</v>
      </c>
      <c r="H12" s="3" t="s">
        <v>606</v>
      </c>
      <c r="I12" s="3" t="s">
        <v>607</v>
      </c>
    </row>
    <row r="13" spans="1:9" ht="28">
      <c r="A13" s="3" t="s">
        <v>608</v>
      </c>
      <c r="B13" s="3" t="s">
        <v>132</v>
      </c>
      <c r="C13" s="4">
        <v>46829</v>
      </c>
      <c r="D13" s="3" t="s">
        <v>129</v>
      </c>
      <c r="E13" s="3" t="s">
        <v>609</v>
      </c>
      <c r="F13" s="3" t="s">
        <v>65</v>
      </c>
      <c r="G13" s="3" t="s">
        <v>74</v>
      </c>
      <c r="H13" s="3" t="s">
        <v>515</v>
      </c>
      <c r="I13" s="3" t="s">
        <v>610</v>
      </c>
    </row>
    <row r="14" spans="1:9" ht="28">
      <c r="A14" s="3" t="s">
        <v>611</v>
      </c>
      <c r="B14" s="3" t="s">
        <v>138</v>
      </c>
      <c r="C14" s="4">
        <v>46857</v>
      </c>
      <c r="D14" s="3" t="s">
        <v>135</v>
      </c>
      <c r="E14" s="3" t="s">
        <v>612</v>
      </c>
      <c r="F14" s="3" t="s">
        <v>572</v>
      </c>
      <c r="G14" s="3" t="s">
        <v>74</v>
      </c>
      <c r="H14" s="3" t="s">
        <v>613</v>
      </c>
      <c r="I14" s="3" t="s">
        <v>614</v>
      </c>
    </row>
    <row r="15" spans="1:9">
      <c r="A15" s="3" t="s">
        <v>615</v>
      </c>
      <c r="B15" s="3" t="s">
        <v>616</v>
      </c>
      <c r="C15" s="4">
        <v>46860</v>
      </c>
      <c r="D15" s="3" t="s">
        <v>148</v>
      </c>
      <c r="E15" s="3" t="s">
        <v>617</v>
      </c>
      <c r="F15" s="3" t="s">
        <v>572</v>
      </c>
      <c r="G15" s="3" t="s">
        <v>74</v>
      </c>
      <c r="H15" s="3" t="s">
        <v>562</v>
      </c>
      <c r="I15" s="3" t="s">
        <v>618</v>
      </c>
    </row>
  </sheetData>
  <mergeCells count="1">
    <mergeCell ref="A1:I1"/>
  </mergeCells>
  <dataValidations count="1">
    <dataValidation type="list" sqref="G4:G15" xr:uid="{00000000-0002-0000-0300-000000000000}">
      <formula1>"Not Started,In Progress,At Risk,Blocked,Done"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workbookViewId="0">
      <selection sqref="A1:H1"/>
    </sheetView>
  </sheetViews>
  <sheetFormatPr defaultRowHeight="14"/>
  <cols>
    <col min="1" max="1" width="9" customWidth="1"/>
    <col min="2" max="3" width="12" customWidth="1"/>
    <col min="4" max="4" width="15" customWidth="1"/>
    <col min="5" max="5" width="50" customWidth="1"/>
    <col min="6" max="6" width="25" customWidth="1"/>
    <col min="7" max="7" width="13" customWidth="1"/>
    <col min="8" max="8" width="40" customWidth="1"/>
  </cols>
  <sheetData>
    <row r="1" spans="1:8" ht="20">
      <c r="A1" s="11" t="s">
        <v>619</v>
      </c>
      <c r="B1" s="11"/>
      <c r="C1" s="11"/>
      <c r="D1" s="11"/>
      <c r="E1" s="11"/>
      <c r="F1" s="11"/>
      <c r="G1" s="11"/>
      <c r="H1" s="11"/>
    </row>
    <row r="3" spans="1:8">
      <c r="A3" s="1" t="s">
        <v>620</v>
      </c>
      <c r="B3" s="1" t="s">
        <v>52</v>
      </c>
      <c r="C3" s="1" t="s">
        <v>53</v>
      </c>
      <c r="D3" s="1" t="s">
        <v>621</v>
      </c>
      <c r="E3" s="1" t="s">
        <v>622</v>
      </c>
      <c r="F3" s="1" t="s">
        <v>623</v>
      </c>
      <c r="G3" s="1" t="s">
        <v>58</v>
      </c>
      <c r="H3" s="1" t="s">
        <v>6</v>
      </c>
    </row>
    <row r="4" spans="1:8">
      <c r="A4" s="3" t="s">
        <v>624</v>
      </c>
      <c r="B4" s="4">
        <v>46286</v>
      </c>
      <c r="C4" s="4">
        <v>46299</v>
      </c>
      <c r="D4" s="3" t="s">
        <v>61</v>
      </c>
      <c r="E4" s="3" t="s">
        <v>625</v>
      </c>
      <c r="F4" s="3"/>
      <c r="G4" s="3" t="s">
        <v>626</v>
      </c>
      <c r="H4" s="3"/>
    </row>
    <row r="5" spans="1:8">
      <c r="A5" s="3" t="s">
        <v>627</v>
      </c>
      <c r="B5" s="4">
        <v>46300</v>
      </c>
      <c r="C5" s="4">
        <v>46313</v>
      </c>
      <c r="D5" s="3" t="s">
        <v>61</v>
      </c>
      <c r="E5" s="3" t="s">
        <v>625</v>
      </c>
      <c r="F5" s="3" t="s">
        <v>64</v>
      </c>
      <c r="G5" s="3" t="s">
        <v>626</v>
      </c>
      <c r="H5" s="3"/>
    </row>
    <row r="6" spans="1:8">
      <c r="A6" s="3" t="s">
        <v>628</v>
      </c>
      <c r="B6" s="4">
        <v>46314</v>
      </c>
      <c r="C6" s="4">
        <v>46327</v>
      </c>
      <c r="D6" s="3" t="s">
        <v>69</v>
      </c>
      <c r="E6" s="3" t="s">
        <v>629</v>
      </c>
      <c r="F6" s="3"/>
      <c r="G6" s="3" t="s">
        <v>626</v>
      </c>
      <c r="H6" s="3"/>
    </row>
    <row r="7" spans="1:8">
      <c r="A7" s="3" t="s">
        <v>630</v>
      </c>
      <c r="B7" s="4">
        <v>46328</v>
      </c>
      <c r="C7" s="4">
        <v>46341</v>
      </c>
      <c r="D7" s="3" t="s">
        <v>69</v>
      </c>
      <c r="E7" s="3" t="s">
        <v>629</v>
      </c>
      <c r="F7" s="3"/>
      <c r="G7" s="3" t="s">
        <v>626</v>
      </c>
      <c r="H7" s="3"/>
    </row>
    <row r="8" spans="1:8">
      <c r="A8" s="3" t="s">
        <v>631</v>
      </c>
      <c r="B8" s="4">
        <v>46342</v>
      </c>
      <c r="C8" s="4">
        <v>46355</v>
      </c>
      <c r="D8" s="3" t="s">
        <v>69</v>
      </c>
      <c r="E8" s="3" t="s">
        <v>629</v>
      </c>
      <c r="F8" s="3"/>
      <c r="G8" s="3" t="s">
        <v>626</v>
      </c>
      <c r="H8" s="3"/>
    </row>
    <row r="9" spans="1:8">
      <c r="A9" s="3" t="s">
        <v>632</v>
      </c>
      <c r="B9" s="4">
        <v>46356</v>
      </c>
      <c r="C9" s="4">
        <v>46369</v>
      </c>
      <c r="D9" s="3" t="s">
        <v>69</v>
      </c>
      <c r="E9" s="3" t="s">
        <v>629</v>
      </c>
      <c r="F9" s="3" t="s">
        <v>72</v>
      </c>
      <c r="G9" s="3" t="s">
        <v>626</v>
      </c>
      <c r="H9" s="3"/>
    </row>
    <row r="10" spans="1:8">
      <c r="A10" s="3" t="s">
        <v>633</v>
      </c>
      <c r="B10" s="4">
        <v>46370</v>
      </c>
      <c r="C10" s="4">
        <v>46383</v>
      </c>
      <c r="D10" s="3" t="s">
        <v>76</v>
      </c>
      <c r="E10" s="3" t="s">
        <v>634</v>
      </c>
      <c r="F10" s="3"/>
      <c r="G10" s="3" t="s">
        <v>626</v>
      </c>
      <c r="H10" s="3"/>
    </row>
    <row r="11" spans="1:8">
      <c r="A11" s="3" t="s">
        <v>635</v>
      </c>
      <c r="B11" s="4">
        <v>46384</v>
      </c>
      <c r="C11" s="4">
        <v>46397</v>
      </c>
      <c r="D11" s="3" t="s">
        <v>76</v>
      </c>
      <c r="E11" s="3" t="s">
        <v>634</v>
      </c>
      <c r="F11" s="3"/>
      <c r="G11" s="3" t="s">
        <v>626</v>
      </c>
      <c r="H11" s="3"/>
    </row>
    <row r="12" spans="1:8">
      <c r="A12" s="3" t="s">
        <v>636</v>
      </c>
      <c r="B12" s="4">
        <v>46398</v>
      </c>
      <c r="C12" s="4">
        <v>46411</v>
      </c>
      <c r="D12" s="3" t="s">
        <v>76</v>
      </c>
      <c r="E12" s="3" t="s">
        <v>634</v>
      </c>
      <c r="F12" s="3"/>
      <c r="G12" s="3" t="s">
        <v>626</v>
      </c>
      <c r="H12" s="3"/>
    </row>
    <row r="13" spans="1:8">
      <c r="A13" s="3" t="s">
        <v>637</v>
      </c>
      <c r="B13" s="4">
        <v>46412</v>
      </c>
      <c r="C13" s="4">
        <v>46425</v>
      </c>
      <c r="D13" s="3" t="s">
        <v>76</v>
      </c>
      <c r="E13" s="3" t="s">
        <v>634</v>
      </c>
      <c r="F13" s="3"/>
      <c r="G13" s="3" t="s">
        <v>626</v>
      </c>
      <c r="H13" s="3"/>
    </row>
    <row r="14" spans="1:8">
      <c r="A14" s="3" t="s">
        <v>638</v>
      </c>
      <c r="B14" s="4">
        <v>46426</v>
      </c>
      <c r="C14" s="4">
        <v>46439</v>
      </c>
      <c r="D14" s="3" t="s">
        <v>639</v>
      </c>
      <c r="E14" s="3" t="s">
        <v>640</v>
      </c>
      <c r="F14" s="3" t="s">
        <v>79</v>
      </c>
      <c r="G14" s="3" t="s">
        <v>626</v>
      </c>
      <c r="H14" s="3"/>
    </row>
    <row r="15" spans="1:8">
      <c r="A15" s="3" t="s">
        <v>641</v>
      </c>
      <c r="B15" s="4">
        <v>46440</v>
      </c>
      <c r="C15" s="4">
        <v>46453</v>
      </c>
      <c r="D15" s="3" t="s">
        <v>81</v>
      </c>
      <c r="E15" s="3" t="s">
        <v>642</v>
      </c>
      <c r="F15" s="3"/>
      <c r="G15" s="3" t="s">
        <v>626</v>
      </c>
      <c r="H15" s="3"/>
    </row>
    <row r="16" spans="1:8">
      <c r="A16" s="3" t="s">
        <v>643</v>
      </c>
      <c r="B16" s="4">
        <v>46454</v>
      </c>
      <c r="C16" s="4">
        <v>46467</v>
      </c>
      <c r="D16" s="3" t="s">
        <v>81</v>
      </c>
      <c r="E16" s="3" t="s">
        <v>642</v>
      </c>
      <c r="F16" s="3"/>
      <c r="G16" s="3" t="s">
        <v>626</v>
      </c>
      <c r="H16" s="3"/>
    </row>
    <row r="17" spans="1:8" ht="28">
      <c r="A17" s="3" t="s">
        <v>644</v>
      </c>
      <c r="B17" s="4">
        <v>46468</v>
      </c>
      <c r="C17" s="4">
        <v>46481</v>
      </c>
      <c r="D17" s="3" t="s">
        <v>645</v>
      </c>
      <c r="E17" s="3" t="s">
        <v>646</v>
      </c>
      <c r="F17" s="3"/>
      <c r="G17" s="3" t="s">
        <v>626</v>
      </c>
      <c r="H17" s="3"/>
    </row>
    <row r="18" spans="1:8">
      <c r="A18" s="3" t="s">
        <v>647</v>
      </c>
      <c r="B18" s="4">
        <v>46482</v>
      </c>
      <c r="C18" s="4">
        <v>46495</v>
      </c>
      <c r="D18" s="3" t="s">
        <v>86</v>
      </c>
      <c r="E18" s="3" t="s">
        <v>648</v>
      </c>
      <c r="F18" s="3" t="s">
        <v>84</v>
      </c>
      <c r="G18" s="3" t="s">
        <v>626</v>
      </c>
      <c r="H18" s="3"/>
    </row>
    <row r="19" spans="1:8">
      <c r="A19" s="3" t="s">
        <v>649</v>
      </c>
      <c r="B19" s="4">
        <v>46496</v>
      </c>
      <c r="C19" s="4">
        <v>46509</v>
      </c>
      <c r="D19" s="3" t="s">
        <v>86</v>
      </c>
      <c r="E19" s="3" t="s">
        <v>648</v>
      </c>
      <c r="F19" s="3"/>
      <c r="G19" s="3" t="s">
        <v>626</v>
      </c>
      <c r="H19" s="3"/>
    </row>
    <row r="20" spans="1:8" ht="28">
      <c r="A20" s="3" t="s">
        <v>650</v>
      </c>
      <c r="B20" s="4">
        <v>46510</v>
      </c>
      <c r="C20" s="4">
        <v>46523</v>
      </c>
      <c r="D20" s="3" t="s">
        <v>651</v>
      </c>
      <c r="E20" s="3" t="s">
        <v>652</v>
      </c>
      <c r="F20" s="3"/>
      <c r="G20" s="3" t="s">
        <v>626</v>
      </c>
      <c r="H20" s="3"/>
    </row>
    <row r="21" spans="1:8">
      <c r="A21" s="3" t="s">
        <v>653</v>
      </c>
      <c r="B21" s="4">
        <v>46524</v>
      </c>
      <c r="C21" s="4">
        <v>46537</v>
      </c>
      <c r="D21" s="3" t="s">
        <v>92</v>
      </c>
      <c r="E21" s="3" t="s">
        <v>654</v>
      </c>
      <c r="F21" s="3"/>
      <c r="G21" s="3" t="s">
        <v>626</v>
      </c>
      <c r="H21" s="3"/>
    </row>
    <row r="22" spans="1:8">
      <c r="A22" s="3" t="s">
        <v>655</v>
      </c>
      <c r="B22" s="4">
        <v>46538</v>
      </c>
      <c r="C22" s="4">
        <v>46551</v>
      </c>
      <c r="D22" s="3" t="s">
        <v>92</v>
      </c>
      <c r="E22" s="3" t="s">
        <v>654</v>
      </c>
      <c r="F22" s="3"/>
      <c r="G22" s="3" t="s">
        <v>626</v>
      </c>
      <c r="H22" s="3"/>
    </row>
    <row r="23" spans="1:8" ht="28">
      <c r="A23" s="3" t="s">
        <v>656</v>
      </c>
      <c r="B23" s="4">
        <v>46552</v>
      </c>
      <c r="C23" s="4">
        <v>46565</v>
      </c>
      <c r="D23" s="3" t="s">
        <v>657</v>
      </c>
      <c r="E23" s="3" t="s">
        <v>658</v>
      </c>
      <c r="F23" s="3" t="s">
        <v>95</v>
      </c>
      <c r="G23" s="3" t="s">
        <v>626</v>
      </c>
      <c r="H23" s="3"/>
    </row>
    <row r="24" spans="1:8">
      <c r="A24" s="3" t="s">
        <v>659</v>
      </c>
      <c r="B24" s="4">
        <v>46566</v>
      </c>
      <c r="C24" s="4">
        <v>46579</v>
      </c>
      <c r="D24" s="3" t="s">
        <v>98</v>
      </c>
      <c r="E24" s="3" t="s">
        <v>660</v>
      </c>
      <c r="F24" s="3"/>
      <c r="G24" s="3" t="s">
        <v>626</v>
      </c>
      <c r="H24" s="3"/>
    </row>
    <row r="25" spans="1:8">
      <c r="A25" s="3" t="s">
        <v>661</v>
      </c>
      <c r="B25" s="4">
        <v>46580</v>
      </c>
      <c r="C25" s="4">
        <v>46593</v>
      </c>
      <c r="D25" s="3" t="s">
        <v>98</v>
      </c>
      <c r="E25" s="3" t="s">
        <v>660</v>
      </c>
      <c r="F25" s="3"/>
      <c r="G25" s="3" t="s">
        <v>626</v>
      </c>
      <c r="H25" s="3"/>
    </row>
    <row r="26" spans="1:8">
      <c r="A26" s="3" t="s">
        <v>662</v>
      </c>
      <c r="B26" s="4">
        <v>46594</v>
      </c>
      <c r="C26" s="4">
        <v>46607</v>
      </c>
      <c r="D26" s="3" t="s">
        <v>98</v>
      </c>
      <c r="E26" s="3" t="s">
        <v>660</v>
      </c>
      <c r="F26" s="3"/>
      <c r="G26" s="3" t="s">
        <v>626</v>
      </c>
      <c r="H26" s="3"/>
    </row>
    <row r="27" spans="1:8">
      <c r="A27" s="3" t="s">
        <v>663</v>
      </c>
      <c r="B27" s="4">
        <v>46608</v>
      </c>
      <c r="C27" s="4">
        <v>46621</v>
      </c>
      <c r="D27" s="3" t="s">
        <v>664</v>
      </c>
      <c r="E27" s="3" t="s">
        <v>665</v>
      </c>
      <c r="F27" s="3" t="s">
        <v>101</v>
      </c>
      <c r="G27" s="3" t="s">
        <v>626</v>
      </c>
      <c r="H27" s="3"/>
    </row>
    <row r="28" spans="1:8">
      <c r="A28" s="3" t="s">
        <v>666</v>
      </c>
      <c r="B28" s="4">
        <v>46622</v>
      </c>
      <c r="C28" s="4">
        <v>46635</v>
      </c>
      <c r="D28" s="3" t="s">
        <v>104</v>
      </c>
      <c r="E28" s="3" t="s">
        <v>667</v>
      </c>
      <c r="F28" s="3"/>
      <c r="G28" s="3" t="s">
        <v>626</v>
      </c>
      <c r="H28" s="3"/>
    </row>
    <row r="29" spans="1:8">
      <c r="A29" s="3" t="s">
        <v>668</v>
      </c>
      <c r="B29" s="4">
        <v>46636</v>
      </c>
      <c r="C29" s="4">
        <v>46649</v>
      </c>
      <c r="D29" s="3" t="s">
        <v>104</v>
      </c>
      <c r="E29" s="3" t="s">
        <v>667</v>
      </c>
      <c r="F29" s="3"/>
      <c r="G29" s="3" t="s">
        <v>626</v>
      </c>
      <c r="H29" s="3"/>
    </row>
    <row r="30" spans="1:8">
      <c r="A30" s="3" t="s">
        <v>669</v>
      </c>
      <c r="B30" s="4">
        <v>46650</v>
      </c>
      <c r="C30" s="4">
        <v>46663</v>
      </c>
      <c r="D30" s="3" t="s">
        <v>104</v>
      </c>
      <c r="E30" s="3" t="s">
        <v>667</v>
      </c>
      <c r="F30" s="3"/>
      <c r="G30" s="3" t="s">
        <v>626</v>
      </c>
      <c r="H30" s="3"/>
    </row>
    <row r="31" spans="1:8">
      <c r="A31" s="3" t="s">
        <v>670</v>
      </c>
      <c r="B31" s="4">
        <v>46664</v>
      </c>
      <c r="C31" s="4">
        <v>46677</v>
      </c>
      <c r="D31" s="3" t="s">
        <v>671</v>
      </c>
      <c r="E31" s="3" t="s">
        <v>672</v>
      </c>
      <c r="F31" s="3"/>
      <c r="G31" s="3" t="s">
        <v>626</v>
      </c>
      <c r="H31" s="3"/>
    </row>
    <row r="32" spans="1:8">
      <c r="A32" s="3" t="s">
        <v>673</v>
      </c>
      <c r="B32" s="4">
        <v>46678</v>
      </c>
      <c r="C32" s="4">
        <v>46691</v>
      </c>
      <c r="D32" s="3" t="s">
        <v>110</v>
      </c>
      <c r="E32" s="3" t="s">
        <v>674</v>
      </c>
      <c r="F32" s="3" t="s">
        <v>107</v>
      </c>
      <c r="G32" s="3" t="s">
        <v>626</v>
      </c>
      <c r="H32" s="3"/>
    </row>
    <row r="33" spans="1:8">
      <c r="A33" s="3" t="s">
        <v>675</v>
      </c>
      <c r="B33" s="4">
        <v>46692</v>
      </c>
      <c r="C33" s="4">
        <v>46705</v>
      </c>
      <c r="D33" s="3" t="s">
        <v>110</v>
      </c>
      <c r="E33" s="3" t="s">
        <v>674</v>
      </c>
      <c r="F33" s="3"/>
      <c r="G33" s="3" t="s">
        <v>626</v>
      </c>
      <c r="H33" s="3"/>
    </row>
    <row r="34" spans="1:8">
      <c r="A34" s="3" t="s">
        <v>676</v>
      </c>
      <c r="B34" s="4">
        <v>46706</v>
      </c>
      <c r="C34" s="4">
        <v>46719</v>
      </c>
      <c r="D34" s="3" t="s">
        <v>677</v>
      </c>
      <c r="E34" s="3" t="s">
        <v>678</v>
      </c>
      <c r="F34" s="3"/>
      <c r="G34" s="3" t="s">
        <v>626</v>
      </c>
      <c r="H34" s="3"/>
    </row>
    <row r="35" spans="1:8">
      <c r="A35" s="3" t="s">
        <v>679</v>
      </c>
      <c r="B35" s="4">
        <v>46720</v>
      </c>
      <c r="C35" s="4">
        <v>46733</v>
      </c>
      <c r="D35" s="3" t="s">
        <v>116</v>
      </c>
      <c r="E35" s="3" t="s">
        <v>680</v>
      </c>
      <c r="F35" s="3"/>
      <c r="G35" s="3" t="s">
        <v>626</v>
      </c>
      <c r="H35" s="3"/>
    </row>
    <row r="36" spans="1:8" ht="28">
      <c r="A36" s="3" t="s">
        <v>681</v>
      </c>
      <c r="B36" s="4">
        <v>46734</v>
      </c>
      <c r="C36" s="4">
        <v>46747</v>
      </c>
      <c r="D36" s="3" t="s">
        <v>682</v>
      </c>
      <c r="E36" s="3" t="s">
        <v>683</v>
      </c>
      <c r="F36" s="3"/>
      <c r="G36" s="3" t="s">
        <v>626</v>
      </c>
      <c r="H36" s="3"/>
    </row>
    <row r="37" spans="1:8" ht="28">
      <c r="A37" s="3" t="s">
        <v>684</v>
      </c>
      <c r="B37" s="4">
        <v>46748</v>
      </c>
      <c r="C37" s="4">
        <v>46761</v>
      </c>
      <c r="D37" s="3" t="s">
        <v>682</v>
      </c>
      <c r="E37" s="3" t="s">
        <v>683</v>
      </c>
      <c r="F37" s="3"/>
      <c r="G37" s="3" t="s">
        <v>626</v>
      </c>
      <c r="H37" s="3"/>
    </row>
    <row r="38" spans="1:8">
      <c r="A38" s="3" t="s">
        <v>685</v>
      </c>
      <c r="B38" s="4">
        <v>46762</v>
      </c>
      <c r="C38" s="4">
        <v>46775</v>
      </c>
      <c r="D38" s="3" t="s">
        <v>122</v>
      </c>
      <c r="E38" s="3" t="s">
        <v>686</v>
      </c>
      <c r="F38" s="3" t="s">
        <v>119</v>
      </c>
      <c r="G38" s="3" t="s">
        <v>626</v>
      </c>
      <c r="H38" s="3"/>
    </row>
    <row r="39" spans="1:8">
      <c r="A39" s="3" t="s">
        <v>687</v>
      </c>
      <c r="B39" s="4">
        <v>46776</v>
      </c>
      <c r="C39" s="4">
        <v>46789</v>
      </c>
      <c r="D39" s="3" t="s">
        <v>688</v>
      </c>
      <c r="E39" s="3" t="s">
        <v>689</v>
      </c>
      <c r="F39" s="3"/>
      <c r="G39" s="3" t="s">
        <v>626</v>
      </c>
      <c r="H39" s="3"/>
    </row>
    <row r="40" spans="1:8">
      <c r="A40" s="3" t="s">
        <v>690</v>
      </c>
      <c r="B40" s="4">
        <v>46790</v>
      </c>
      <c r="C40" s="4">
        <v>46803</v>
      </c>
      <c r="D40" s="3" t="s">
        <v>129</v>
      </c>
      <c r="E40" s="3" t="s">
        <v>691</v>
      </c>
      <c r="F40" s="3" t="s">
        <v>125</v>
      </c>
      <c r="G40" s="3" t="s">
        <v>626</v>
      </c>
      <c r="H40" s="3"/>
    </row>
    <row r="41" spans="1:8">
      <c r="A41" s="3" t="s">
        <v>692</v>
      </c>
      <c r="B41" s="4">
        <v>46804</v>
      </c>
      <c r="C41" s="4">
        <v>46817</v>
      </c>
      <c r="D41" s="3" t="s">
        <v>129</v>
      </c>
      <c r="E41" s="3" t="s">
        <v>691</v>
      </c>
      <c r="F41" s="3"/>
      <c r="G41" s="3" t="s">
        <v>626</v>
      </c>
      <c r="H41" s="3"/>
    </row>
    <row r="42" spans="1:8">
      <c r="A42" s="3" t="s">
        <v>693</v>
      </c>
      <c r="B42" s="4">
        <v>46818</v>
      </c>
      <c r="C42" s="4">
        <v>46831</v>
      </c>
      <c r="D42" s="3" t="s">
        <v>694</v>
      </c>
      <c r="E42" s="3" t="s">
        <v>695</v>
      </c>
      <c r="F42" s="3" t="s">
        <v>132</v>
      </c>
      <c r="G42" s="3" t="s">
        <v>626</v>
      </c>
      <c r="H42" s="3"/>
    </row>
    <row r="43" spans="1:8">
      <c r="A43" s="3" t="s">
        <v>696</v>
      </c>
      <c r="B43" s="4">
        <v>46832</v>
      </c>
      <c r="C43" s="4">
        <v>46845</v>
      </c>
      <c r="D43" s="3" t="s">
        <v>135</v>
      </c>
      <c r="E43" s="3" t="s">
        <v>697</v>
      </c>
      <c r="F43" s="3"/>
      <c r="G43" s="3" t="s">
        <v>626</v>
      </c>
      <c r="H43" s="3"/>
    </row>
    <row r="44" spans="1:8">
      <c r="A44" s="3" t="s">
        <v>698</v>
      </c>
      <c r="B44" s="4">
        <v>46846</v>
      </c>
      <c r="C44" s="4">
        <v>46859</v>
      </c>
      <c r="D44" s="3" t="s">
        <v>135</v>
      </c>
      <c r="E44" s="3" t="s">
        <v>697</v>
      </c>
      <c r="F44" s="3" t="s">
        <v>138</v>
      </c>
      <c r="G44" s="3" t="s">
        <v>626</v>
      </c>
      <c r="H44" s="3"/>
    </row>
    <row r="45" spans="1:8">
      <c r="A45" s="3" t="s">
        <v>699</v>
      </c>
      <c r="B45" s="4">
        <v>46860</v>
      </c>
      <c r="C45" s="4">
        <v>46860</v>
      </c>
      <c r="D45" s="3" t="s">
        <v>639</v>
      </c>
      <c r="E45" s="3" t="s">
        <v>640</v>
      </c>
      <c r="F45" s="3" t="s">
        <v>616</v>
      </c>
      <c r="G45" s="3" t="s">
        <v>626</v>
      </c>
      <c r="H45" s="3"/>
    </row>
  </sheetData>
  <mergeCells count="1">
    <mergeCell ref="A1:H1"/>
  </mergeCells>
  <dataValidations count="1">
    <dataValidation type="list" sqref="G4:G45" xr:uid="{00000000-0002-0000-0400-000000000000}">
      <formula1>"Planned,Active,Completed,At Risk,Cancelled"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sqref="A1:J1"/>
    </sheetView>
  </sheetViews>
  <sheetFormatPr defaultRowHeight="14"/>
  <cols>
    <col min="1" max="1" width="22" customWidth="1"/>
    <col min="2" max="2" width="13" customWidth="1"/>
    <col min="3" max="3" width="25" customWidth="1"/>
    <col min="4" max="4" width="45" customWidth="1"/>
    <col min="5" max="5" width="35" customWidth="1"/>
    <col min="6" max="7" width="38" customWidth="1"/>
    <col min="8" max="8" width="32" customWidth="1"/>
    <col min="9" max="9" width="15" customWidth="1"/>
    <col min="10" max="10" width="13" customWidth="1"/>
  </cols>
  <sheetData>
    <row r="1" spans="1:10" ht="20">
      <c r="A1" s="11" t="s">
        <v>700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>
      <c r="A3" s="1" t="s">
        <v>148</v>
      </c>
      <c r="B3" s="1" t="s">
        <v>701</v>
      </c>
      <c r="C3" s="1" t="s">
        <v>702</v>
      </c>
      <c r="D3" s="1" t="s">
        <v>703</v>
      </c>
      <c r="E3" s="1" t="s">
        <v>704</v>
      </c>
      <c r="F3" s="1" t="s">
        <v>705</v>
      </c>
      <c r="G3" s="1" t="s">
        <v>568</v>
      </c>
      <c r="H3" s="1" t="s">
        <v>706</v>
      </c>
      <c r="I3" s="1" t="s">
        <v>707</v>
      </c>
      <c r="J3" s="1" t="s">
        <v>58</v>
      </c>
    </row>
    <row r="4" spans="1:10">
      <c r="A4" s="3" t="s">
        <v>708</v>
      </c>
      <c r="B4" s="4">
        <v>46430</v>
      </c>
      <c r="C4" s="3" t="s">
        <v>709</v>
      </c>
      <c r="D4" s="3" t="s">
        <v>710</v>
      </c>
      <c r="E4" s="3" t="s">
        <v>711</v>
      </c>
      <c r="F4" s="3" t="s">
        <v>712</v>
      </c>
      <c r="G4" s="3" t="s">
        <v>713</v>
      </c>
      <c r="H4" s="3" t="s">
        <v>714</v>
      </c>
      <c r="I4" s="3" t="s">
        <v>715</v>
      </c>
      <c r="J4" s="3" t="s">
        <v>626</v>
      </c>
    </row>
    <row r="5" spans="1:10">
      <c r="A5" s="3" t="s">
        <v>716</v>
      </c>
      <c r="B5" s="4">
        <v>46486</v>
      </c>
      <c r="C5" s="3" t="s">
        <v>717</v>
      </c>
      <c r="D5" s="3" t="s">
        <v>642</v>
      </c>
      <c r="E5" s="3" t="s">
        <v>718</v>
      </c>
      <c r="F5" s="3" t="s">
        <v>719</v>
      </c>
      <c r="G5" s="3" t="s">
        <v>720</v>
      </c>
      <c r="H5" s="3" t="s">
        <v>721</v>
      </c>
      <c r="I5" s="3" t="s">
        <v>722</v>
      </c>
      <c r="J5" s="3" t="s">
        <v>626</v>
      </c>
    </row>
    <row r="6" spans="1:10">
      <c r="A6" s="3" t="s">
        <v>723</v>
      </c>
      <c r="B6" s="4">
        <v>46563</v>
      </c>
      <c r="C6" s="3" t="s">
        <v>724</v>
      </c>
      <c r="D6" s="3" t="s">
        <v>725</v>
      </c>
      <c r="E6" s="3" t="s">
        <v>726</v>
      </c>
      <c r="F6" s="3" t="s">
        <v>727</v>
      </c>
      <c r="G6" s="3" t="s">
        <v>728</v>
      </c>
      <c r="H6" s="3" t="s">
        <v>729</v>
      </c>
      <c r="I6" s="3" t="s">
        <v>730</v>
      </c>
      <c r="J6" s="3" t="s">
        <v>626</v>
      </c>
    </row>
    <row r="7" spans="1:10">
      <c r="A7" s="3" t="s">
        <v>731</v>
      </c>
      <c r="B7" s="4">
        <v>46619</v>
      </c>
      <c r="C7" s="3" t="s">
        <v>732</v>
      </c>
      <c r="D7" s="3" t="s">
        <v>660</v>
      </c>
      <c r="E7" s="3" t="s">
        <v>733</v>
      </c>
      <c r="F7" s="3" t="s">
        <v>734</v>
      </c>
      <c r="G7" s="3" t="s">
        <v>735</v>
      </c>
      <c r="H7" s="3" t="s">
        <v>736</v>
      </c>
      <c r="I7" s="3" t="s">
        <v>730</v>
      </c>
      <c r="J7" s="3" t="s">
        <v>626</v>
      </c>
    </row>
    <row r="8" spans="1:10">
      <c r="A8" s="3" t="s">
        <v>737</v>
      </c>
      <c r="B8" s="4">
        <v>46682</v>
      </c>
      <c r="C8" s="3" t="s">
        <v>738</v>
      </c>
      <c r="D8" s="3" t="s">
        <v>739</v>
      </c>
      <c r="E8" s="3" t="s">
        <v>740</v>
      </c>
      <c r="F8" s="3" t="s">
        <v>741</v>
      </c>
      <c r="G8" s="3" t="s">
        <v>742</v>
      </c>
      <c r="H8" s="3" t="s">
        <v>743</v>
      </c>
      <c r="I8" s="3" t="s">
        <v>744</v>
      </c>
      <c r="J8" s="3" t="s">
        <v>626</v>
      </c>
    </row>
    <row r="9" spans="1:10">
      <c r="A9" s="3" t="s">
        <v>745</v>
      </c>
      <c r="B9" s="4">
        <v>46766</v>
      </c>
      <c r="C9" s="3" t="s">
        <v>746</v>
      </c>
      <c r="D9" s="3" t="s">
        <v>747</v>
      </c>
      <c r="E9" s="3" t="s">
        <v>748</v>
      </c>
      <c r="F9" s="3" t="s">
        <v>749</v>
      </c>
      <c r="G9" s="3" t="s">
        <v>750</v>
      </c>
      <c r="H9" s="3" t="s">
        <v>751</v>
      </c>
      <c r="I9" s="3" t="s">
        <v>744</v>
      </c>
      <c r="J9" s="3" t="s">
        <v>626</v>
      </c>
    </row>
    <row r="10" spans="1:10">
      <c r="A10" s="3" t="s">
        <v>752</v>
      </c>
      <c r="B10" s="4">
        <v>46829</v>
      </c>
      <c r="C10" s="3" t="s">
        <v>753</v>
      </c>
      <c r="D10" s="3" t="s">
        <v>754</v>
      </c>
      <c r="E10" s="3" t="s">
        <v>755</v>
      </c>
      <c r="F10" s="3" t="s">
        <v>756</v>
      </c>
      <c r="G10" s="3" t="s">
        <v>757</v>
      </c>
      <c r="H10" s="3" t="s">
        <v>758</v>
      </c>
      <c r="I10" s="3" t="s">
        <v>759</v>
      </c>
      <c r="J10" s="3" t="s">
        <v>626</v>
      </c>
    </row>
    <row r="11" spans="1:10" ht="28">
      <c r="A11" s="3" t="s">
        <v>760</v>
      </c>
      <c r="B11" s="4">
        <v>46860</v>
      </c>
      <c r="C11" s="3" t="s">
        <v>761</v>
      </c>
      <c r="D11" s="3" t="s">
        <v>762</v>
      </c>
      <c r="E11" s="3" t="s">
        <v>763</v>
      </c>
      <c r="F11" s="3" t="s">
        <v>764</v>
      </c>
      <c r="G11" s="3" t="s">
        <v>765</v>
      </c>
      <c r="H11" s="3" t="s">
        <v>766</v>
      </c>
      <c r="I11" s="3" t="s">
        <v>767</v>
      </c>
      <c r="J11" s="3" t="s">
        <v>626</v>
      </c>
    </row>
  </sheetData>
  <mergeCells count="1">
    <mergeCell ref="A1:J1"/>
  </mergeCells>
  <dataValidations count="1">
    <dataValidation type="list" sqref="J4:J11" xr:uid="{00000000-0002-0000-0500-000000000000}">
      <formula1>"Planned,In Progress,At Risk,Released,Cancelled"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workbookViewId="0">
      <selection sqref="A1:H1"/>
    </sheetView>
  </sheetViews>
  <sheetFormatPr defaultRowHeight="14"/>
  <cols>
    <col min="1" max="1" width="32" customWidth="1"/>
    <col min="2" max="2" width="18" customWidth="1"/>
    <col min="3" max="3" width="11" customWidth="1"/>
    <col min="4" max="4" width="14" customWidth="1"/>
    <col min="5" max="5" width="13" customWidth="1"/>
    <col min="6" max="6" width="11" customWidth="1"/>
    <col min="7" max="7" width="16" customWidth="1"/>
    <col min="8" max="8" width="52" customWidth="1"/>
  </cols>
  <sheetData>
    <row r="1" spans="1:8" ht="20">
      <c r="A1" s="11" t="s">
        <v>768</v>
      </c>
      <c r="B1" s="11"/>
      <c r="C1" s="11"/>
      <c r="D1" s="11"/>
      <c r="E1" s="11"/>
      <c r="F1" s="11"/>
      <c r="G1" s="11"/>
      <c r="H1" s="11"/>
    </row>
    <row r="3" spans="1:8">
      <c r="A3" s="1" t="s">
        <v>769</v>
      </c>
      <c r="B3" s="1" t="s">
        <v>770</v>
      </c>
      <c r="C3" s="1" t="s">
        <v>146</v>
      </c>
      <c r="D3" s="1" t="s">
        <v>771</v>
      </c>
      <c r="E3" s="1" t="s">
        <v>148</v>
      </c>
      <c r="F3" s="1" t="s">
        <v>772</v>
      </c>
      <c r="G3" s="1" t="s">
        <v>773</v>
      </c>
      <c r="H3" s="1" t="s">
        <v>774</v>
      </c>
    </row>
    <row r="4" spans="1:8" ht="28">
      <c r="A4" s="3" t="s">
        <v>775</v>
      </c>
      <c r="B4" s="3" t="s">
        <v>189</v>
      </c>
      <c r="C4" s="3" t="s">
        <v>155</v>
      </c>
      <c r="D4" s="3" t="s">
        <v>69</v>
      </c>
      <c r="E4" s="3" t="s">
        <v>776</v>
      </c>
      <c r="F4" s="3" t="s">
        <v>25</v>
      </c>
      <c r="G4" s="3" t="s">
        <v>626</v>
      </c>
      <c r="H4" s="3" t="s">
        <v>777</v>
      </c>
    </row>
    <row r="5" spans="1:8" ht="28">
      <c r="A5" s="3" t="s">
        <v>205</v>
      </c>
      <c r="B5" s="3" t="s">
        <v>778</v>
      </c>
      <c r="C5" s="3" t="s">
        <v>155</v>
      </c>
      <c r="D5" s="3" t="s">
        <v>76</v>
      </c>
      <c r="E5" s="3" t="s">
        <v>776</v>
      </c>
      <c r="F5" s="3" t="s">
        <v>25</v>
      </c>
      <c r="G5" s="3" t="s">
        <v>17</v>
      </c>
      <c r="H5" s="3" t="s">
        <v>779</v>
      </c>
    </row>
    <row r="6" spans="1:8" ht="28">
      <c r="A6" s="3" t="s">
        <v>780</v>
      </c>
      <c r="B6" s="3" t="s">
        <v>778</v>
      </c>
      <c r="C6" s="3" t="s">
        <v>155</v>
      </c>
      <c r="D6" s="3" t="s">
        <v>76</v>
      </c>
      <c r="E6" s="3" t="s">
        <v>776</v>
      </c>
      <c r="F6" s="3" t="s">
        <v>25</v>
      </c>
      <c r="G6" s="3" t="s">
        <v>17</v>
      </c>
      <c r="H6" s="3" t="s">
        <v>781</v>
      </c>
    </row>
    <row r="7" spans="1:8">
      <c r="A7" s="3" t="s">
        <v>782</v>
      </c>
      <c r="B7" s="3" t="s">
        <v>778</v>
      </c>
      <c r="C7" s="3" t="s">
        <v>155</v>
      </c>
      <c r="D7" s="3" t="s">
        <v>76</v>
      </c>
      <c r="E7" s="3" t="s">
        <v>776</v>
      </c>
      <c r="F7" s="3" t="s">
        <v>25</v>
      </c>
      <c r="G7" s="3" t="s">
        <v>17</v>
      </c>
      <c r="H7" s="3" t="s">
        <v>783</v>
      </c>
    </row>
    <row r="8" spans="1:8">
      <c r="A8" s="3" t="s">
        <v>784</v>
      </c>
      <c r="B8" s="3" t="s">
        <v>778</v>
      </c>
      <c r="C8" s="3" t="s">
        <v>155</v>
      </c>
      <c r="D8" s="3" t="s">
        <v>76</v>
      </c>
      <c r="E8" s="3" t="s">
        <v>776</v>
      </c>
      <c r="F8" s="3" t="s">
        <v>25</v>
      </c>
      <c r="G8" s="3" t="s">
        <v>17</v>
      </c>
      <c r="H8" s="3" t="s">
        <v>785</v>
      </c>
    </row>
    <row r="9" spans="1:8">
      <c r="A9" s="3" t="s">
        <v>786</v>
      </c>
      <c r="B9" s="3" t="s">
        <v>778</v>
      </c>
      <c r="C9" s="3" t="s">
        <v>155</v>
      </c>
      <c r="D9" s="3" t="s">
        <v>76</v>
      </c>
      <c r="E9" s="3" t="s">
        <v>776</v>
      </c>
      <c r="F9" s="3" t="s">
        <v>25</v>
      </c>
      <c r="G9" s="3" t="s">
        <v>17</v>
      </c>
      <c r="H9" s="3" t="s">
        <v>787</v>
      </c>
    </row>
    <row r="10" spans="1:8">
      <c r="A10" s="3" t="s">
        <v>788</v>
      </c>
      <c r="B10" s="3" t="s">
        <v>227</v>
      </c>
      <c r="C10" s="3" t="s">
        <v>155</v>
      </c>
      <c r="D10" s="3" t="s">
        <v>76</v>
      </c>
      <c r="E10" s="3" t="s">
        <v>776</v>
      </c>
      <c r="F10" s="3" t="s">
        <v>25</v>
      </c>
      <c r="G10" s="3" t="s">
        <v>17</v>
      </c>
      <c r="H10" s="3" t="s">
        <v>789</v>
      </c>
    </row>
    <row r="11" spans="1:8">
      <c r="A11" s="3" t="s">
        <v>790</v>
      </c>
      <c r="B11" s="3" t="s">
        <v>227</v>
      </c>
      <c r="C11" s="3" t="s">
        <v>155</v>
      </c>
      <c r="D11" s="3" t="s">
        <v>76</v>
      </c>
      <c r="E11" s="3" t="s">
        <v>776</v>
      </c>
      <c r="F11" s="3" t="s">
        <v>25</v>
      </c>
      <c r="G11" s="3" t="s">
        <v>17</v>
      </c>
      <c r="H11" s="3" t="s">
        <v>791</v>
      </c>
    </row>
    <row r="12" spans="1:8">
      <c r="A12" s="3" t="s">
        <v>792</v>
      </c>
      <c r="B12" s="3" t="s">
        <v>793</v>
      </c>
      <c r="C12" s="3" t="s">
        <v>155</v>
      </c>
      <c r="D12" s="3" t="s">
        <v>81</v>
      </c>
      <c r="E12" s="3" t="s">
        <v>794</v>
      </c>
      <c r="F12" s="3" t="s">
        <v>25</v>
      </c>
      <c r="G12" s="3" t="s">
        <v>17</v>
      </c>
      <c r="H12" s="3" t="s">
        <v>795</v>
      </c>
    </row>
    <row r="13" spans="1:8">
      <c r="A13" s="3" t="s">
        <v>246</v>
      </c>
      <c r="B13" s="3" t="s">
        <v>793</v>
      </c>
      <c r="C13" s="3" t="s">
        <v>164</v>
      </c>
      <c r="D13" s="3" t="s">
        <v>81</v>
      </c>
      <c r="E13" s="3" t="s">
        <v>794</v>
      </c>
      <c r="F13" s="3" t="s">
        <v>25</v>
      </c>
      <c r="G13" s="3" t="s">
        <v>17</v>
      </c>
      <c r="H13" s="3" t="s">
        <v>796</v>
      </c>
    </row>
    <row r="14" spans="1:8">
      <c r="A14" s="3" t="s">
        <v>797</v>
      </c>
      <c r="B14" s="3" t="s">
        <v>793</v>
      </c>
      <c r="C14" s="3" t="s">
        <v>155</v>
      </c>
      <c r="D14" s="3" t="s">
        <v>81</v>
      </c>
      <c r="E14" s="3" t="s">
        <v>794</v>
      </c>
      <c r="F14" s="3" t="s">
        <v>25</v>
      </c>
      <c r="G14" s="3" t="s">
        <v>17</v>
      </c>
      <c r="H14" s="3" t="s">
        <v>798</v>
      </c>
    </row>
    <row r="15" spans="1:8">
      <c r="A15" s="3" t="s">
        <v>799</v>
      </c>
      <c r="B15" s="3" t="s">
        <v>227</v>
      </c>
      <c r="C15" s="3" t="s">
        <v>155</v>
      </c>
      <c r="D15" s="3" t="s">
        <v>86</v>
      </c>
      <c r="E15" s="3" t="s">
        <v>800</v>
      </c>
      <c r="F15" s="3" t="s">
        <v>25</v>
      </c>
      <c r="G15" s="3" t="s">
        <v>17</v>
      </c>
      <c r="H15" s="3" t="s">
        <v>801</v>
      </c>
    </row>
    <row r="16" spans="1:8">
      <c r="A16" s="3" t="s">
        <v>802</v>
      </c>
      <c r="B16" s="3" t="s">
        <v>227</v>
      </c>
      <c r="C16" s="3" t="s">
        <v>155</v>
      </c>
      <c r="D16" s="3" t="s">
        <v>86</v>
      </c>
      <c r="E16" s="3" t="s">
        <v>800</v>
      </c>
      <c r="F16" s="3" t="s">
        <v>25</v>
      </c>
      <c r="G16" s="3" t="s">
        <v>17</v>
      </c>
      <c r="H16" s="3" t="s">
        <v>803</v>
      </c>
    </row>
    <row r="17" spans="1:8">
      <c r="A17" s="3" t="s">
        <v>290</v>
      </c>
      <c r="B17" s="3" t="s">
        <v>227</v>
      </c>
      <c r="C17" s="3" t="s">
        <v>164</v>
      </c>
      <c r="D17" s="3" t="s">
        <v>86</v>
      </c>
      <c r="E17" s="3" t="s">
        <v>800</v>
      </c>
      <c r="F17" s="3" t="s">
        <v>25</v>
      </c>
      <c r="G17" s="3" t="s">
        <v>17</v>
      </c>
      <c r="H17" s="3" t="s">
        <v>804</v>
      </c>
    </row>
    <row r="18" spans="1:8">
      <c r="A18" s="3" t="s">
        <v>301</v>
      </c>
      <c r="B18" s="3" t="s">
        <v>805</v>
      </c>
      <c r="C18" s="3" t="s">
        <v>155</v>
      </c>
      <c r="D18" s="3" t="s">
        <v>92</v>
      </c>
      <c r="E18" s="3" t="s">
        <v>800</v>
      </c>
      <c r="F18" s="3" t="s">
        <v>25</v>
      </c>
      <c r="G18" s="3" t="s">
        <v>17</v>
      </c>
      <c r="H18" s="3" t="s">
        <v>806</v>
      </c>
    </row>
    <row r="19" spans="1:8">
      <c r="A19" s="3" t="s">
        <v>807</v>
      </c>
      <c r="B19" s="3" t="s">
        <v>805</v>
      </c>
      <c r="C19" s="3" t="s">
        <v>164</v>
      </c>
      <c r="D19" s="3" t="s">
        <v>92</v>
      </c>
      <c r="E19" s="3" t="s">
        <v>800</v>
      </c>
      <c r="F19" s="3" t="s">
        <v>25</v>
      </c>
      <c r="G19" s="3" t="s">
        <v>17</v>
      </c>
      <c r="H19" s="3" t="s">
        <v>808</v>
      </c>
    </row>
    <row r="20" spans="1:8">
      <c r="A20" s="3" t="s">
        <v>326</v>
      </c>
      <c r="B20" s="3" t="s">
        <v>189</v>
      </c>
      <c r="C20" s="3" t="s">
        <v>164</v>
      </c>
      <c r="D20" s="3" t="s">
        <v>809</v>
      </c>
      <c r="E20" s="3" t="s">
        <v>810</v>
      </c>
      <c r="F20" s="3" t="s">
        <v>25</v>
      </c>
      <c r="G20" s="3" t="s">
        <v>17</v>
      </c>
      <c r="H20" s="3" t="s">
        <v>811</v>
      </c>
    </row>
    <row r="21" spans="1:8">
      <c r="A21" s="3" t="s">
        <v>812</v>
      </c>
      <c r="B21" s="3" t="s">
        <v>227</v>
      </c>
      <c r="C21" s="3" t="s">
        <v>155</v>
      </c>
      <c r="D21" s="3" t="s">
        <v>98</v>
      </c>
      <c r="E21" s="3" t="s">
        <v>813</v>
      </c>
      <c r="F21" s="3" t="s">
        <v>25</v>
      </c>
      <c r="G21" s="3" t="s">
        <v>17</v>
      </c>
      <c r="H21" s="3" t="s">
        <v>814</v>
      </c>
    </row>
    <row r="22" spans="1:8">
      <c r="A22" s="3" t="s">
        <v>815</v>
      </c>
      <c r="B22" s="3" t="s">
        <v>368</v>
      </c>
      <c r="C22" s="3" t="s">
        <v>155</v>
      </c>
      <c r="D22" s="3" t="s">
        <v>104</v>
      </c>
      <c r="E22" s="3" t="s">
        <v>816</v>
      </c>
      <c r="F22" s="3" t="s">
        <v>25</v>
      </c>
      <c r="G22" s="3" t="s">
        <v>17</v>
      </c>
      <c r="H22" s="3" t="s">
        <v>817</v>
      </c>
    </row>
    <row r="23" spans="1:8">
      <c r="A23" s="3" t="s">
        <v>818</v>
      </c>
      <c r="B23" s="3" t="s">
        <v>819</v>
      </c>
      <c r="C23" s="3" t="s">
        <v>164</v>
      </c>
      <c r="D23" s="3" t="s">
        <v>110</v>
      </c>
      <c r="E23" s="3" t="s">
        <v>820</v>
      </c>
      <c r="F23" s="3" t="s">
        <v>821</v>
      </c>
      <c r="G23" s="3" t="s">
        <v>17</v>
      </c>
      <c r="H23" s="3" t="s">
        <v>822</v>
      </c>
    </row>
    <row r="24" spans="1:8">
      <c r="A24" s="3" t="s">
        <v>433</v>
      </c>
      <c r="B24" s="3" t="s">
        <v>823</v>
      </c>
      <c r="C24" s="3" t="s">
        <v>364</v>
      </c>
      <c r="D24" s="3" t="s">
        <v>116</v>
      </c>
      <c r="E24" s="3" t="s">
        <v>820</v>
      </c>
      <c r="F24" s="3" t="s">
        <v>821</v>
      </c>
      <c r="G24" s="3" t="s">
        <v>17</v>
      </c>
      <c r="H24" s="3" t="s">
        <v>824</v>
      </c>
    </row>
    <row r="25" spans="1:8">
      <c r="A25" s="3" t="s">
        <v>444</v>
      </c>
      <c r="B25" s="3" t="s">
        <v>823</v>
      </c>
      <c r="C25" s="3" t="s">
        <v>364</v>
      </c>
      <c r="D25" s="3" t="s">
        <v>116</v>
      </c>
      <c r="E25" s="3" t="s">
        <v>820</v>
      </c>
      <c r="F25" s="3" t="s">
        <v>821</v>
      </c>
      <c r="G25" s="3" t="s">
        <v>17</v>
      </c>
      <c r="H25" s="3" t="s">
        <v>825</v>
      </c>
    </row>
    <row r="26" spans="1:8">
      <c r="A26" s="3" t="s">
        <v>453</v>
      </c>
      <c r="B26" s="3" t="s">
        <v>823</v>
      </c>
      <c r="C26" s="3" t="s">
        <v>364</v>
      </c>
      <c r="D26" s="3" t="s">
        <v>116</v>
      </c>
      <c r="E26" s="3" t="s">
        <v>820</v>
      </c>
      <c r="F26" s="3" t="s">
        <v>821</v>
      </c>
      <c r="G26" s="3" t="s">
        <v>17</v>
      </c>
      <c r="H26" s="3" t="s">
        <v>826</v>
      </c>
    </row>
    <row r="27" spans="1:8">
      <c r="A27" s="3" t="s">
        <v>460</v>
      </c>
      <c r="B27" s="3" t="s">
        <v>823</v>
      </c>
      <c r="C27" s="3" t="s">
        <v>164</v>
      </c>
      <c r="D27" s="3" t="s">
        <v>116</v>
      </c>
      <c r="E27" s="3" t="s">
        <v>820</v>
      </c>
      <c r="F27" s="3" t="s">
        <v>821</v>
      </c>
      <c r="G27" s="3" t="s">
        <v>17</v>
      </c>
      <c r="H27" s="3" t="s">
        <v>827</v>
      </c>
    </row>
    <row r="28" spans="1:8">
      <c r="A28" s="3" t="s">
        <v>828</v>
      </c>
      <c r="B28" s="3" t="s">
        <v>189</v>
      </c>
      <c r="C28" s="3" t="s">
        <v>155</v>
      </c>
      <c r="D28" s="3" t="s">
        <v>122</v>
      </c>
      <c r="E28" s="3" t="s">
        <v>829</v>
      </c>
      <c r="F28" s="3" t="s">
        <v>25</v>
      </c>
      <c r="G28" s="3" t="s">
        <v>17</v>
      </c>
      <c r="H28" s="3" t="s">
        <v>830</v>
      </c>
    </row>
    <row r="29" spans="1:8">
      <c r="A29" s="3" t="s">
        <v>831</v>
      </c>
      <c r="B29" s="3" t="s">
        <v>189</v>
      </c>
      <c r="C29" s="3" t="s">
        <v>155</v>
      </c>
      <c r="D29" s="3" t="s">
        <v>122</v>
      </c>
      <c r="E29" s="3" t="s">
        <v>829</v>
      </c>
      <c r="F29" s="3" t="s">
        <v>25</v>
      </c>
      <c r="G29" s="3" t="s">
        <v>17</v>
      </c>
      <c r="H29" s="3" t="s">
        <v>832</v>
      </c>
    </row>
    <row r="30" spans="1:8">
      <c r="A30" s="3" t="s">
        <v>833</v>
      </c>
      <c r="B30" s="3" t="s">
        <v>189</v>
      </c>
      <c r="C30" s="3" t="s">
        <v>164</v>
      </c>
      <c r="D30" s="3" t="s">
        <v>129</v>
      </c>
      <c r="E30" s="3" t="s">
        <v>829</v>
      </c>
      <c r="F30" s="3" t="s">
        <v>25</v>
      </c>
      <c r="G30" s="3" t="s">
        <v>17</v>
      </c>
      <c r="H30" s="3" t="s">
        <v>834</v>
      </c>
    </row>
    <row r="31" spans="1:8">
      <c r="A31" s="3" t="s">
        <v>835</v>
      </c>
      <c r="B31" s="3" t="s">
        <v>189</v>
      </c>
      <c r="C31" s="3" t="s">
        <v>164</v>
      </c>
      <c r="D31" s="3" t="s">
        <v>129</v>
      </c>
      <c r="E31" s="3" t="s">
        <v>829</v>
      </c>
      <c r="F31" s="3" t="s">
        <v>25</v>
      </c>
      <c r="G31" s="3" t="s">
        <v>17</v>
      </c>
      <c r="H31" s="3" t="s">
        <v>836</v>
      </c>
    </row>
    <row r="32" spans="1:8">
      <c r="A32" s="3" t="s">
        <v>837</v>
      </c>
      <c r="B32" s="3" t="s">
        <v>189</v>
      </c>
      <c r="C32" s="3" t="s">
        <v>164</v>
      </c>
      <c r="D32" s="3" t="s">
        <v>129</v>
      </c>
      <c r="E32" s="3" t="s">
        <v>829</v>
      </c>
      <c r="F32" s="3" t="s">
        <v>821</v>
      </c>
      <c r="G32" s="3" t="s">
        <v>17</v>
      </c>
      <c r="H32" s="3" t="s">
        <v>838</v>
      </c>
    </row>
    <row r="33" spans="1:8">
      <c r="A33" s="3" t="s">
        <v>839</v>
      </c>
      <c r="B33" s="3" t="s">
        <v>45</v>
      </c>
      <c r="C33" s="3" t="s">
        <v>441</v>
      </c>
      <c r="D33" s="3" t="s">
        <v>840</v>
      </c>
      <c r="E33" s="3" t="s">
        <v>840</v>
      </c>
      <c r="F33" s="3" t="s">
        <v>821</v>
      </c>
      <c r="G33" s="3" t="s">
        <v>45</v>
      </c>
      <c r="H33" s="3" t="s">
        <v>841</v>
      </c>
    </row>
    <row r="34" spans="1:8" ht="28">
      <c r="A34" s="3" t="s">
        <v>842</v>
      </c>
      <c r="B34" s="3" t="s">
        <v>45</v>
      </c>
      <c r="C34" s="3" t="s">
        <v>441</v>
      </c>
      <c r="D34" s="3" t="s">
        <v>840</v>
      </c>
      <c r="E34" s="3" t="s">
        <v>840</v>
      </c>
      <c r="F34" s="3" t="s">
        <v>821</v>
      </c>
      <c r="G34" s="3" t="s">
        <v>45</v>
      </c>
      <c r="H34" s="3" t="s">
        <v>843</v>
      </c>
    </row>
  </sheetData>
  <mergeCells count="1">
    <mergeCell ref="A1:H1"/>
  </mergeCells>
  <dataValidations count="1">
    <dataValidation type="list" sqref="C4:C34" xr:uid="{00000000-0002-0000-0600-000000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"/>
  <sheetViews>
    <sheetView workbookViewId="0">
      <selection sqref="A1:L1"/>
    </sheetView>
  </sheetViews>
  <sheetFormatPr defaultRowHeight="14"/>
  <cols>
    <col min="1" max="1" width="8" customWidth="1"/>
    <col min="2" max="2" width="43" customWidth="1"/>
    <col min="3" max="3" width="16" customWidth="1"/>
    <col min="4" max="4" width="12" customWidth="1"/>
    <col min="5" max="5" width="10" customWidth="1"/>
    <col min="6" max="6" width="9" customWidth="1"/>
    <col min="7" max="7" width="22" customWidth="1"/>
    <col min="8" max="8" width="48" customWidth="1"/>
    <col min="9" max="9" width="38" customWidth="1"/>
    <col min="10" max="10" width="42" customWidth="1"/>
    <col min="11" max="11" width="12" customWidth="1"/>
    <col min="12" max="12" width="13" customWidth="1"/>
  </cols>
  <sheetData>
    <row r="1" spans="1:12" ht="20">
      <c r="A1" s="11" t="s">
        <v>844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>
      <c r="A3" s="1" t="s">
        <v>142</v>
      </c>
      <c r="B3" s="1" t="s">
        <v>845</v>
      </c>
      <c r="C3" s="1" t="s">
        <v>770</v>
      </c>
      <c r="D3" s="1" t="s">
        <v>846</v>
      </c>
      <c r="E3" s="1" t="s">
        <v>847</v>
      </c>
      <c r="F3" s="1" t="s">
        <v>848</v>
      </c>
      <c r="G3" s="1" t="s">
        <v>57</v>
      </c>
      <c r="H3" s="1" t="s">
        <v>849</v>
      </c>
      <c r="I3" s="1" t="s">
        <v>850</v>
      </c>
      <c r="J3" s="1" t="s">
        <v>851</v>
      </c>
      <c r="K3" s="1" t="s">
        <v>58</v>
      </c>
      <c r="L3" s="1" t="s">
        <v>852</v>
      </c>
    </row>
    <row r="4" spans="1:12">
      <c r="A4" s="3" t="s">
        <v>853</v>
      </c>
      <c r="B4" s="3" t="s">
        <v>854</v>
      </c>
      <c r="C4" s="3" t="s">
        <v>855</v>
      </c>
      <c r="D4" s="3">
        <v>4</v>
      </c>
      <c r="E4" s="3">
        <v>5</v>
      </c>
      <c r="F4" s="3">
        <v>20</v>
      </c>
      <c r="G4" s="3" t="s">
        <v>572</v>
      </c>
      <c r="H4" s="3" t="s">
        <v>856</v>
      </c>
      <c r="I4" s="3" t="s">
        <v>857</v>
      </c>
      <c r="J4" s="3" t="s">
        <v>858</v>
      </c>
      <c r="K4" s="3" t="s">
        <v>859</v>
      </c>
      <c r="L4" s="4">
        <v>46297</v>
      </c>
    </row>
    <row r="5" spans="1:12" ht="28">
      <c r="A5" s="3" t="s">
        <v>860</v>
      </c>
      <c r="B5" s="3" t="s">
        <v>861</v>
      </c>
      <c r="C5" s="3" t="s">
        <v>171</v>
      </c>
      <c r="D5" s="3">
        <v>3</v>
      </c>
      <c r="E5" s="3">
        <v>5</v>
      </c>
      <c r="F5" s="3">
        <v>15</v>
      </c>
      <c r="G5" s="3" t="s">
        <v>73</v>
      </c>
      <c r="H5" s="3" t="s">
        <v>862</v>
      </c>
      <c r="I5" s="3" t="s">
        <v>863</v>
      </c>
      <c r="J5" s="3" t="s">
        <v>864</v>
      </c>
      <c r="K5" s="3" t="s">
        <v>859</v>
      </c>
      <c r="L5" s="4">
        <v>46311</v>
      </c>
    </row>
    <row r="6" spans="1:12" ht="28">
      <c r="A6" s="3" t="s">
        <v>865</v>
      </c>
      <c r="B6" s="3" t="s">
        <v>866</v>
      </c>
      <c r="C6" s="3" t="s">
        <v>185</v>
      </c>
      <c r="D6" s="3">
        <v>2</v>
      </c>
      <c r="E6" s="3">
        <v>5</v>
      </c>
      <c r="F6" s="3">
        <v>10</v>
      </c>
      <c r="G6" s="3" t="s">
        <v>73</v>
      </c>
      <c r="H6" s="3" t="s">
        <v>867</v>
      </c>
      <c r="I6" s="3" t="s">
        <v>868</v>
      </c>
      <c r="J6" s="3" t="s">
        <v>869</v>
      </c>
      <c r="K6" s="3" t="s">
        <v>859</v>
      </c>
      <c r="L6" s="4">
        <v>46367</v>
      </c>
    </row>
    <row r="7" spans="1:12">
      <c r="A7" s="3" t="s">
        <v>870</v>
      </c>
      <c r="B7" s="3" t="s">
        <v>871</v>
      </c>
      <c r="C7" s="3" t="s">
        <v>548</v>
      </c>
      <c r="D7" s="3">
        <v>3</v>
      </c>
      <c r="E7" s="3">
        <v>5</v>
      </c>
      <c r="F7" s="3">
        <v>15</v>
      </c>
      <c r="G7" s="3" t="s">
        <v>73</v>
      </c>
      <c r="H7" s="3" t="s">
        <v>872</v>
      </c>
      <c r="I7" s="3" t="s">
        <v>873</v>
      </c>
      <c r="J7" s="3" t="s">
        <v>874</v>
      </c>
      <c r="K7" s="3" t="s">
        <v>859</v>
      </c>
      <c r="L7" s="4">
        <v>46736</v>
      </c>
    </row>
    <row r="8" spans="1:12">
      <c r="A8" s="3" t="s">
        <v>875</v>
      </c>
      <c r="B8" s="3" t="s">
        <v>876</v>
      </c>
      <c r="C8" s="3" t="s">
        <v>368</v>
      </c>
      <c r="D8" s="3">
        <v>2</v>
      </c>
      <c r="E8" s="3">
        <v>5</v>
      </c>
      <c r="F8" s="3">
        <v>10</v>
      </c>
      <c r="G8" s="3" t="s">
        <v>73</v>
      </c>
      <c r="H8" s="3" t="s">
        <v>877</v>
      </c>
      <c r="I8" s="3" t="s">
        <v>878</v>
      </c>
      <c r="J8" s="3" t="s">
        <v>879</v>
      </c>
      <c r="K8" s="3" t="s">
        <v>859</v>
      </c>
      <c r="L8" s="4">
        <v>46614</v>
      </c>
    </row>
    <row r="9" spans="1:12" ht="28">
      <c r="A9" s="3" t="s">
        <v>880</v>
      </c>
      <c r="B9" s="3" t="s">
        <v>881</v>
      </c>
      <c r="C9" s="3" t="s">
        <v>882</v>
      </c>
      <c r="D9" s="3">
        <v>4</v>
      </c>
      <c r="E9" s="3">
        <v>4</v>
      </c>
      <c r="F9" s="3">
        <v>16</v>
      </c>
      <c r="G9" s="3" t="s">
        <v>572</v>
      </c>
      <c r="H9" s="3" t="s">
        <v>883</v>
      </c>
      <c r="I9" s="3" t="s">
        <v>884</v>
      </c>
      <c r="J9" s="3" t="s">
        <v>885</v>
      </c>
      <c r="K9" s="3" t="s">
        <v>859</v>
      </c>
      <c r="L9" s="4">
        <v>46327</v>
      </c>
    </row>
    <row r="10" spans="1:12">
      <c r="A10" s="3" t="s">
        <v>886</v>
      </c>
      <c r="B10" s="3" t="s">
        <v>887</v>
      </c>
      <c r="C10" s="3" t="s">
        <v>888</v>
      </c>
      <c r="D10" s="3">
        <v>2</v>
      </c>
      <c r="E10" s="3">
        <v>5</v>
      </c>
      <c r="F10" s="3">
        <v>10</v>
      </c>
      <c r="G10" s="3" t="s">
        <v>73</v>
      </c>
      <c r="H10" s="3" t="s">
        <v>889</v>
      </c>
      <c r="I10" s="3" t="s">
        <v>890</v>
      </c>
      <c r="J10" s="3" t="s">
        <v>891</v>
      </c>
      <c r="K10" s="3" t="s">
        <v>859</v>
      </c>
      <c r="L10" s="4">
        <v>46798</v>
      </c>
    </row>
    <row r="11" spans="1:12" ht="28">
      <c r="A11" s="3" t="s">
        <v>892</v>
      </c>
      <c r="B11" s="3" t="s">
        <v>893</v>
      </c>
      <c r="C11" s="3" t="s">
        <v>894</v>
      </c>
      <c r="D11" s="3">
        <v>1</v>
      </c>
      <c r="E11" s="3">
        <v>3</v>
      </c>
      <c r="F11" s="3">
        <v>3</v>
      </c>
      <c r="G11" s="3" t="s">
        <v>73</v>
      </c>
      <c r="H11" s="3" t="s">
        <v>895</v>
      </c>
      <c r="I11" s="3" t="s">
        <v>896</v>
      </c>
      <c r="J11" s="3" t="s">
        <v>897</v>
      </c>
      <c r="K11" s="3" t="s">
        <v>859</v>
      </c>
      <c r="L11" s="4">
        <v>46600</v>
      </c>
    </row>
    <row r="12" spans="1:12" ht="28">
      <c r="A12" s="3" t="s">
        <v>898</v>
      </c>
      <c r="B12" s="3" t="s">
        <v>899</v>
      </c>
      <c r="C12" s="3" t="s">
        <v>894</v>
      </c>
      <c r="D12" s="3">
        <v>3</v>
      </c>
      <c r="E12" s="3">
        <v>3</v>
      </c>
      <c r="F12" s="3">
        <v>9</v>
      </c>
      <c r="G12" s="3" t="s">
        <v>73</v>
      </c>
      <c r="H12" s="3" t="s">
        <v>900</v>
      </c>
      <c r="I12" s="3" t="s">
        <v>901</v>
      </c>
      <c r="J12" s="3" t="s">
        <v>902</v>
      </c>
      <c r="K12" s="3" t="s">
        <v>859</v>
      </c>
      <c r="L12" s="4">
        <v>46461</v>
      </c>
    </row>
    <row r="13" spans="1:12" ht="28">
      <c r="A13" s="3" t="s">
        <v>903</v>
      </c>
      <c r="B13" s="3" t="s">
        <v>904</v>
      </c>
      <c r="C13" s="3" t="s">
        <v>905</v>
      </c>
      <c r="D13" s="3">
        <v>3</v>
      </c>
      <c r="E13" s="3">
        <v>3</v>
      </c>
      <c r="F13" s="3">
        <v>9</v>
      </c>
      <c r="G13" s="3" t="s">
        <v>73</v>
      </c>
      <c r="H13" s="3" t="s">
        <v>906</v>
      </c>
      <c r="I13" s="3" t="s">
        <v>907</v>
      </c>
      <c r="J13" s="3" t="s">
        <v>908</v>
      </c>
      <c r="K13" s="3" t="s">
        <v>859</v>
      </c>
      <c r="L13" s="4">
        <v>46478</v>
      </c>
    </row>
    <row r="14" spans="1:12">
      <c r="A14" s="3" t="s">
        <v>909</v>
      </c>
      <c r="B14" s="3" t="s">
        <v>910</v>
      </c>
      <c r="C14" s="3" t="s">
        <v>185</v>
      </c>
      <c r="D14" s="3">
        <v>3</v>
      </c>
      <c r="E14" s="3">
        <v>3</v>
      </c>
      <c r="F14" s="3">
        <v>9</v>
      </c>
      <c r="G14" s="3" t="s">
        <v>572</v>
      </c>
      <c r="H14" s="3" t="s">
        <v>911</v>
      </c>
      <c r="I14" s="3" t="s">
        <v>912</v>
      </c>
      <c r="J14" s="3" t="s">
        <v>913</v>
      </c>
      <c r="K14" s="3" t="s">
        <v>914</v>
      </c>
      <c r="L14" s="4">
        <v>46433</v>
      </c>
    </row>
    <row r="15" spans="1:12">
      <c r="A15" s="3" t="s">
        <v>915</v>
      </c>
      <c r="B15" s="3" t="s">
        <v>916</v>
      </c>
      <c r="C15" s="3" t="s">
        <v>640</v>
      </c>
      <c r="D15" s="3">
        <v>3</v>
      </c>
      <c r="E15" s="3">
        <v>3</v>
      </c>
      <c r="F15" s="3">
        <v>9</v>
      </c>
      <c r="G15" s="3" t="s">
        <v>73</v>
      </c>
      <c r="H15" s="3" t="s">
        <v>917</v>
      </c>
      <c r="I15" s="3" t="s">
        <v>918</v>
      </c>
      <c r="J15" s="3" t="s">
        <v>919</v>
      </c>
      <c r="K15" s="3" t="s">
        <v>859</v>
      </c>
      <c r="L15" s="4">
        <v>46539</v>
      </c>
    </row>
    <row r="16" spans="1:12" ht="28">
      <c r="A16" s="3" t="s">
        <v>920</v>
      </c>
      <c r="B16" s="3" t="s">
        <v>921</v>
      </c>
      <c r="C16" s="3" t="s">
        <v>153</v>
      </c>
      <c r="D16" s="3">
        <v>3</v>
      </c>
      <c r="E16" s="3">
        <v>5</v>
      </c>
      <c r="F16" s="3">
        <v>15</v>
      </c>
      <c r="G16" s="3" t="s">
        <v>572</v>
      </c>
      <c r="H16" s="3" t="s">
        <v>922</v>
      </c>
      <c r="I16" s="3" t="s">
        <v>923</v>
      </c>
      <c r="J16" s="3" t="s">
        <v>924</v>
      </c>
      <c r="K16" s="3" t="s">
        <v>859</v>
      </c>
      <c r="L16" s="4">
        <v>46388</v>
      </c>
    </row>
    <row r="17" spans="1:12" ht="28">
      <c r="A17" s="3" t="s">
        <v>925</v>
      </c>
      <c r="B17" s="3" t="s">
        <v>926</v>
      </c>
      <c r="C17" s="3" t="s">
        <v>196</v>
      </c>
      <c r="D17" s="3">
        <v>3</v>
      </c>
      <c r="E17" s="3">
        <v>5</v>
      </c>
      <c r="F17" s="3">
        <v>15</v>
      </c>
      <c r="G17" s="3" t="s">
        <v>73</v>
      </c>
      <c r="H17" s="3" t="s">
        <v>927</v>
      </c>
      <c r="I17" s="3" t="s">
        <v>928</v>
      </c>
      <c r="J17" s="3" t="s">
        <v>929</v>
      </c>
      <c r="K17" s="3" t="s">
        <v>859</v>
      </c>
      <c r="L17" s="4">
        <v>46722</v>
      </c>
    </row>
    <row r="18" spans="1:12">
      <c r="A18" s="3" t="s">
        <v>930</v>
      </c>
      <c r="B18" s="3" t="s">
        <v>931</v>
      </c>
      <c r="C18" s="3" t="s">
        <v>932</v>
      </c>
      <c r="D18" s="3">
        <v>2</v>
      </c>
      <c r="E18" s="3">
        <v>5</v>
      </c>
      <c r="F18" s="3">
        <v>10</v>
      </c>
      <c r="G18" s="3" t="s">
        <v>126</v>
      </c>
      <c r="H18" s="3" t="s">
        <v>933</v>
      </c>
      <c r="I18" s="3" t="s">
        <v>934</v>
      </c>
      <c r="J18" s="3" t="s">
        <v>935</v>
      </c>
      <c r="K18" s="3" t="s">
        <v>859</v>
      </c>
      <c r="L18" s="4">
        <v>46753</v>
      </c>
    </row>
    <row r="19" spans="1:12" ht="28">
      <c r="A19" s="3" t="s">
        <v>936</v>
      </c>
      <c r="B19" s="3" t="s">
        <v>937</v>
      </c>
      <c r="C19" s="3" t="s">
        <v>540</v>
      </c>
      <c r="D19" s="3">
        <v>3</v>
      </c>
      <c r="E19" s="3">
        <v>4</v>
      </c>
      <c r="F19" s="3">
        <v>12</v>
      </c>
      <c r="G19" s="3" t="s">
        <v>73</v>
      </c>
      <c r="H19" s="3" t="s">
        <v>938</v>
      </c>
      <c r="I19" s="3" t="s">
        <v>939</v>
      </c>
      <c r="J19" s="3" t="s">
        <v>940</v>
      </c>
      <c r="K19" s="3" t="s">
        <v>859</v>
      </c>
      <c r="L19" s="4">
        <v>46784</v>
      </c>
    </row>
    <row r="20" spans="1:12" ht="28">
      <c r="A20" s="3" t="s">
        <v>941</v>
      </c>
      <c r="B20" s="3" t="s">
        <v>942</v>
      </c>
      <c r="C20" s="3" t="s">
        <v>943</v>
      </c>
      <c r="D20" s="3">
        <v>3</v>
      </c>
      <c r="E20" s="3">
        <v>4</v>
      </c>
      <c r="F20" s="3">
        <v>12</v>
      </c>
      <c r="G20" s="3" t="s">
        <v>73</v>
      </c>
      <c r="H20" s="3" t="s">
        <v>944</v>
      </c>
      <c r="I20" s="3" t="s">
        <v>945</v>
      </c>
      <c r="J20" s="3" t="s">
        <v>946</v>
      </c>
      <c r="K20" s="3" t="s">
        <v>859</v>
      </c>
      <c r="L20" s="4">
        <v>46508</v>
      </c>
    </row>
    <row r="21" spans="1:12">
      <c r="A21" s="3" t="s">
        <v>947</v>
      </c>
      <c r="B21" s="3" t="s">
        <v>948</v>
      </c>
      <c r="C21" s="3" t="s">
        <v>548</v>
      </c>
      <c r="D21" s="3">
        <v>3</v>
      </c>
      <c r="E21" s="3">
        <v>3</v>
      </c>
      <c r="F21" s="3">
        <v>9</v>
      </c>
      <c r="G21" s="3" t="s">
        <v>73</v>
      </c>
      <c r="H21" s="3" t="s">
        <v>949</v>
      </c>
      <c r="I21" s="3" t="s">
        <v>950</v>
      </c>
      <c r="J21" s="3" t="s">
        <v>951</v>
      </c>
      <c r="K21" s="3" t="s">
        <v>859</v>
      </c>
      <c r="L21" s="4">
        <v>46753</v>
      </c>
    </row>
    <row r="22" spans="1:12">
      <c r="A22" s="3" t="s">
        <v>952</v>
      </c>
      <c r="B22" s="3" t="s">
        <v>953</v>
      </c>
      <c r="C22" s="3" t="s">
        <v>954</v>
      </c>
      <c r="D22" s="3">
        <v>3</v>
      </c>
      <c r="E22" s="3">
        <v>4</v>
      </c>
      <c r="F22" s="3">
        <v>12</v>
      </c>
      <c r="G22" s="3" t="s">
        <v>955</v>
      </c>
      <c r="H22" s="3" t="s">
        <v>956</v>
      </c>
      <c r="I22" s="3" t="s">
        <v>957</v>
      </c>
      <c r="J22" s="3" t="s">
        <v>958</v>
      </c>
      <c r="K22" s="3" t="s">
        <v>859</v>
      </c>
      <c r="L22" s="4">
        <v>46539</v>
      </c>
    </row>
    <row r="23" spans="1:12">
      <c r="A23" s="3" t="s">
        <v>959</v>
      </c>
      <c r="B23" s="3" t="s">
        <v>960</v>
      </c>
      <c r="C23" s="3" t="s">
        <v>961</v>
      </c>
      <c r="D23" s="3">
        <v>2</v>
      </c>
      <c r="E23" s="3">
        <v>4</v>
      </c>
      <c r="F23" s="3">
        <v>8</v>
      </c>
      <c r="G23" s="3" t="s">
        <v>572</v>
      </c>
      <c r="H23" s="3" t="s">
        <v>962</v>
      </c>
      <c r="I23" s="3" t="s">
        <v>963</v>
      </c>
      <c r="J23" s="3" t="s">
        <v>964</v>
      </c>
      <c r="K23" s="3" t="s">
        <v>859</v>
      </c>
      <c r="L23" s="4">
        <v>46661</v>
      </c>
    </row>
  </sheetData>
  <mergeCells count="1">
    <mergeCell ref="A1:L1"/>
  </mergeCells>
  <conditionalFormatting sqref="F4:F23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2">
    <dataValidation type="list" sqref="D4:E23" xr:uid="{00000000-0002-0000-0700-000000000000}">
      <formula1>"1,2,3,4,5"</formula1>
    </dataValidation>
    <dataValidation type="list" sqref="K4:K23" xr:uid="{00000000-0002-0000-0700-000002000000}">
      <formula1>"Open,Mitigating,Accepted,Closed"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>
      <selection sqref="A1:H1"/>
    </sheetView>
  </sheetViews>
  <sheetFormatPr defaultRowHeight="14"/>
  <cols>
    <col min="1" max="1" width="34" customWidth="1"/>
    <col min="2" max="3" width="16" customWidth="1"/>
    <col min="4" max="4" width="10" customWidth="1"/>
    <col min="5" max="5" width="15" customWidth="1"/>
    <col min="6" max="7" width="18" customWidth="1"/>
    <col min="8" max="8" width="15" customWidth="1"/>
  </cols>
  <sheetData>
    <row r="1" spans="1:8" ht="20">
      <c r="A1" s="11" t="s">
        <v>965</v>
      </c>
      <c r="B1" s="11"/>
      <c r="C1" s="11"/>
      <c r="D1" s="11"/>
      <c r="E1" s="11"/>
      <c r="F1" s="11"/>
      <c r="G1" s="11"/>
      <c r="H1" s="11"/>
    </row>
    <row r="3" spans="1:8">
      <c r="A3" s="1" t="s">
        <v>966</v>
      </c>
      <c r="B3" s="1" t="s">
        <v>572</v>
      </c>
      <c r="C3" s="1" t="s">
        <v>73</v>
      </c>
      <c r="D3" s="1" t="s">
        <v>532</v>
      </c>
      <c r="E3" s="1" t="s">
        <v>967</v>
      </c>
      <c r="F3" s="1" t="s">
        <v>968</v>
      </c>
      <c r="G3" s="1" t="s">
        <v>969</v>
      </c>
      <c r="H3" s="1" t="s">
        <v>970</v>
      </c>
    </row>
    <row r="4" spans="1:8">
      <c r="A4" s="3" t="s">
        <v>971</v>
      </c>
      <c r="B4" s="3" t="s">
        <v>972</v>
      </c>
      <c r="C4" s="3" t="s">
        <v>973</v>
      </c>
      <c r="D4" s="3" t="s">
        <v>974</v>
      </c>
      <c r="E4" s="3" t="s">
        <v>974</v>
      </c>
      <c r="F4" s="3" t="s">
        <v>974</v>
      </c>
      <c r="G4" s="3" t="s">
        <v>974</v>
      </c>
      <c r="H4" s="3" t="s">
        <v>975</v>
      </c>
    </row>
    <row r="5" spans="1:8">
      <c r="A5" s="3" t="s">
        <v>976</v>
      </c>
      <c r="B5" s="3" t="s">
        <v>974</v>
      </c>
      <c r="C5" s="3" t="s">
        <v>977</v>
      </c>
      <c r="D5" s="3" t="s">
        <v>974</v>
      </c>
      <c r="E5" s="3" t="s">
        <v>975</v>
      </c>
      <c r="F5" s="3" t="s">
        <v>975</v>
      </c>
      <c r="G5" s="3" t="s">
        <v>975</v>
      </c>
      <c r="H5" s="3" t="s">
        <v>975</v>
      </c>
    </row>
    <row r="6" spans="1:8">
      <c r="A6" s="3" t="s">
        <v>978</v>
      </c>
      <c r="B6" s="3" t="s">
        <v>975</v>
      </c>
      <c r="C6" s="3" t="s">
        <v>977</v>
      </c>
      <c r="D6" s="3" t="s">
        <v>974</v>
      </c>
      <c r="E6" s="3" t="s">
        <v>975</v>
      </c>
      <c r="F6" s="3" t="s">
        <v>975</v>
      </c>
      <c r="G6" s="3" t="s">
        <v>975</v>
      </c>
      <c r="H6" s="3" t="s">
        <v>975</v>
      </c>
    </row>
    <row r="7" spans="1:8">
      <c r="A7" s="3" t="s">
        <v>979</v>
      </c>
      <c r="B7" s="3" t="s">
        <v>975</v>
      </c>
      <c r="C7" s="3" t="s">
        <v>977</v>
      </c>
      <c r="D7" s="3" t="s">
        <v>974</v>
      </c>
      <c r="E7" s="3" t="s">
        <v>975</v>
      </c>
      <c r="F7" s="3" t="s">
        <v>975</v>
      </c>
      <c r="G7" s="3" t="s">
        <v>975</v>
      </c>
      <c r="H7" s="3" t="s">
        <v>975</v>
      </c>
    </row>
    <row r="8" spans="1:8">
      <c r="A8" s="3" t="s">
        <v>980</v>
      </c>
      <c r="B8" s="3" t="s">
        <v>972</v>
      </c>
      <c r="C8" s="3" t="s">
        <v>973</v>
      </c>
      <c r="D8" s="3" t="s">
        <v>974</v>
      </c>
      <c r="E8" s="3" t="s">
        <v>974</v>
      </c>
      <c r="F8" s="3" t="s">
        <v>974</v>
      </c>
      <c r="G8" s="3" t="s">
        <v>974</v>
      </c>
      <c r="H8" s="3" t="s">
        <v>975</v>
      </c>
    </row>
    <row r="9" spans="1:8">
      <c r="A9" s="3" t="s">
        <v>981</v>
      </c>
      <c r="B9" s="3" t="s">
        <v>975</v>
      </c>
      <c r="C9" s="3" t="s">
        <v>973</v>
      </c>
      <c r="D9" s="3" t="s">
        <v>974</v>
      </c>
      <c r="E9" s="3" t="s">
        <v>982</v>
      </c>
      <c r="F9" s="3" t="s">
        <v>974</v>
      </c>
      <c r="G9" s="3" t="s">
        <v>975</v>
      </c>
      <c r="H9" s="3" t="s">
        <v>975</v>
      </c>
    </row>
    <row r="10" spans="1:8">
      <c r="A10" s="3" t="s">
        <v>983</v>
      </c>
      <c r="B10" s="3" t="s">
        <v>975</v>
      </c>
      <c r="C10" s="3" t="s">
        <v>973</v>
      </c>
      <c r="D10" s="3" t="s">
        <v>974</v>
      </c>
      <c r="E10" s="3" t="s">
        <v>982</v>
      </c>
      <c r="F10" s="3" t="s">
        <v>975</v>
      </c>
      <c r="G10" s="3" t="s">
        <v>975</v>
      </c>
      <c r="H10" s="3" t="s">
        <v>975</v>
      </c>
    </row>
    <row r="11" spans="1:8">
      <c r="A11" s="3" t="s">
        <v>984</v>
      </c>
      <c r="B11" s="3" t="s">
        <v>975</v>
      </c>
      <c r="C11" s="3" t="s">
        <v>973</v>
      </c>
      <c r="D11" s="3" t="s">
        <v>974</v>
      </c>
      <c r="E11" s="3" t="s">
        <v>974</v>
      </c>
      <c r="F11" s="3" t="s">
        <v>972</v>
      </c>
      <c r="G11" s="3" t="s">
        <v>975</v>
      </c>
      <c r="H11" s="3" t="s">
        <v>975</v>
      </c>
    </row>
    <row r="12" spans="1:8">
      <c r="A12" s="3" t="s">
        <v>985</v>
      </c>
      <c r="B12" s="3" t="s">
        <v>975</v>
      </c>
      <c r="C12" s="3" t="s">
        <v>973</v>
      </c>
      <c r="D12" s="3" t="s">
        <v>974</v>
      </c>
      <c r="E12" s="3" t="s">
        <v>974</v>
      </c>
      <c r="F12" s="3" t="s">
        <v>975</v>
      </c>
      <c r="G12" s="3" t="s">
        <v>982</v>
      </c>
      <c r="H12" s="3" t="s">
        <v>975</v>
      </c>
    </row>
    <row r="13" spans="1:8">
      <c r="A13" s="3" t="s">
        <v>986</v>
      </c>
      <c r="B13" s="3" t="s">
        <v>975</v>
      </c>
      <c r="C13" s="3" t="s">
        <v>973</v>
      </c>
      <c r="D13" s="3" t="s">
        <v>974</v>
      </c>
      <c r="E13" s="3" t="s">
        <v>974</v>
      </c>
      <c r="F13" s="3" t="s">
        <v>975</v>
      </c>
      <c r="G13" s="3" t="s">
        <v>982</v>
      </c>
      <c r="H13" s="3" t="s">
        <v>975</v>
      </c>
    </row>
    <row r="14" spans="1:8">
      <c r="A14" s="3" t="s">
        <v>987</v>
      </c>
      <c r="B14" s="3" t="s">
        <v>975</v>
      </c>
      <c r="C14" s="3" t="s">
        <v>973</v>
      </c>
      <c r="D14" s="3" t="s">
        <v>972</v>
      </c>
      <c r="E14" s="3" t="s">
        <v>974</v>
      </c>
      <c r="F14" s="3" t="s">
        <v>974</v>
      </c>
      <c r="G14" s="3" t="s">
        <v>974</v>
      </c>
      <c r="H14" s="3" t="s">
        <v>975</v>
      </c>
    </row>
    <row r="15" spans="1:8">
      <c r="A15" s="3" t="s">
        <v>988</v>
      </c>
      <c r="B15" s="3" t="s">
        <v>972</v>
      </c>
      <c r="C15" s="3" t="s">
        <v>973</v>
      </c>
      <c r="D15" s="3" t="s">
        <v>974</v>
      </c>
      <c r="E15" s="3" t="s">
        <v>974</v>
      </c>
      <c r="F15" s="3" t="s">
        <v>974</v>
      </c>
      <c r="G15" s="3" t="s">
        <v>974</v>
      </c>
      <c r="H15" s="3" t="s">
        <v>975</v>
      </c>
    </row>
    <row r="16" spans="1:8">
      <c r="A16" s="3" t="s">
        <v>989</v>
      </c>
      <c r="B16" s="3" t="s">
        <v>975</v>
      </c>
      <c r="C16" s="3" t="s">
        <v>977</v>
      </c>
      <c r="D16" s="3" t="s">
        <v>973</v>
      </c>
      <c r="E16" s="3" t="s">
        <v>975</v>
      </c>
      <c r="F16" s="3" t="s">
        <v>975</v>
      </c>
      <c r="G16" s="3" t="s">
        <v>975</v>
      </c>
      <c r="H16" s="3" t="s">
        <v>973</v>
      </c>
    </row>
    <row r="17" spans="1:8">
      <c r="A17" s="3" t="s">
        <v>990</v>
      </c>
      <c r="B17" s="3" t="s">
        <v>972</v>
      </c>
      <c r="C17" s="3" t="s">
        <v>973</v>
      </c>
      <c r="D17" s="3" t="s">
        <v>974</v>
      </c>
      <c r="E17" s="3" t="s">
        <v>974</v>
      </c>
      <c r="F17" s="3" t="s">
        <v>975</v>
      </c>
      <c r="G17" s="3" t="s">
        <v>975</v>
      </c>
      <c r="H17" s="3" t="s">
        <v>973</v>
      </c>
    </row>
    <row r="18" spans="1:8">
      <c r="A18" s="3" t="s">
        <v>991</v>
      </c>
      <c r="B18" s="3" t="s">
        <v>972</v>
      </c>
      <c r="C18" s="3" t="s">
        <v>973</v>
      </c>
      <c r="D18" s="3" t="s">
        <v>974</v>
      </c>
      <c r="E18" s="3" t="s">
        <v>974</v>
      </c>
      <c r="F18" s="3" t="s">
        <v>974</v>
      </c>
      <c r="G18" s="3" t="s">
        <v>974</v>
      </c>
      <c r="H18" s="3" t="s">
        <v>975</v>
      </c>
    </row>
  </sheetData>
  <mergeCells count="1">
    <mergeCell ref="A1:H1"/>
  </mergeCells>
  <dataValidations count="1">
    <dataValidation type="list" sqref="B4:H18" xr:uid="{00000000-0002-0000-0800-000000000000}">
      <formula1>"R,A,C,I,A/R,A/C,-"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workbookViewId="0"/>
  </sheetViews>
  <sheetFormatPr defaultRowHeight="14"/>
  <cols>
    <col min="1" max="1" width="22" customWidth="1"/>
    <col min="2" max="2" width="48" customWidth="1"/>
    <col min="3" max="3" width="18" customWidth="1"/>
    <col min="4" max="4" width="24" customWidth="1"/>
    <col min="5" max="6" width="12" customWidth="1"/>
    <col min="7" max="7" width="40" customWidth="1"/>
    <col min="8" max="8" width="30" customWidth="1"/>
    <col min="9" max="9" width="13" customWidth="1"/>
    <col min="10" max="10" width="35" customWidth="1"/>
  </cols>
  <sheetData>
    <row r="1" spans="1:10" ht="20">
      <c r="A1" s="11" t="s">
        <v>992</v>
      </c>
      <c r="B1" s="11"/>
      <c r="C1" s="11"/>
      <c r="D1" s="11"/>
      <c r="E1" s="11"/>
      <c r="F1" s="11"/>
      <c r="G1" s="11"/>
      <c r="H1" s="11"/>
      <c r="I1" s="11"/>
      <c r="J1" s="11"/>
    </row>
    <row r="3" spans="1:10">
      <c r="A3" s="1" t="s">
        <v>993</v>
      </c>
      <c r="B3" s="1" t="s">
        <v>994</v>
      </c>
      <c r="C3" s="1" t="s">
        <v>995</v>
      </c>
      <c r="D3" s="1" t="s">
        <v>57</v>
      </c>
      <c r="E3" s="1" t="s">
        <v>996</v>
      </c>
      <c r="F3" s="1" t="s">
        <v>997</v>
      </c>
      <c r="G3" s="1" t="s">
        <v>998</v>
      </c>
      <c r="H3" s="1" t="s">
        <v>999</v>
      </c>
      <c r="I3" s="1" t="s">
        <v>58</v>
      </c>
      <c r="J3" s="1" t="s">
        <v>6</v>
      </c>
    </row>
    <row r="4" spans="1:10">
      <c r="A4" s="3" t="s">
        <v>1000</v>
      </c>
      <c r="B4" s="3" t="s">
        <v>1001</v>
      </c>
      <c r="C4" s="3" t="s">
        <v>1002</v>
      </c>
      <c r="D4" s="3" t="s">
        <v>73</v>
      </c>
      <c r="E4" s="3" t="s">
        <v>8</v>
      </c>
      <c r="F4" s="3" t="s">
        <v>8</v>
      </c>
      <c r="G4" s="3" t="s">
        <v>1003</v>
      </c>
      <c r="H4" s="3" t="s">
        <v>1004</v>
      </c>
      <c r="I4" s="3" t="s">
        <v>626</v>
      </c>
      <c r="J4" s="3"/>
    </row>
    <row r="5" spans="1:10" ht="28">
      <c r="A5" s="3" t="s">
        <v>1005</v>
      </c>
      <c r="B5" s="3" t="s">
        <v>1006</v>
      </c>
      <c r="C5" s="3" t="s">
        <v>1007</v>
      </c>
      <c r="D5" s="3" t="s">
        <v>126</v>
      </c>
      <c r="E5" s="3" t="s">
        <v>8</v>
      </c>
      <c r="F5" s="3" t="s">
        <v>8</v>
      </c>
      <c r="G5" s="3" t="s">
        <v>1008</v>
      </c>
      <c r="H5" s="3" t="s">
        <v>1009</v>
      </c>
      <c r="I5" s="3" t="s">
        <v>626</v>
      </c>
      <c r="J5" s="3"/>
    </row>
    <row r="6" spans="1:10">
      <c r="A6" s="3" t="s">
        <v>1010</v>
      </c>
      <c r="B6" s="3" t="s">
        <v>1011</v>
      </c>
      <c r="C6" s="3" t="s">
        <v>1012</v>
      </c>
      <c r="D6" s="3" t="s">
        <v>532</v>
      </c>
      <c r="E6" s="3" t="s">
        <v>8</v>
      </c>
      <c r="F6" s="3" t="s">
        <v>8</v>
      </c>
      <c r="G6" s="3" t="s">
        <v>1013</v>
      </c>
      <c r="H6" s="3" t="s">
        <v>1014</v>
      </c>
      <c r="I6" s="3" t="s">
        <v>626</v>
      </c>
      <c r="J6" s="3"/>
    </row>
    <row r="7" spans="1:10">
      <c r="A7" s="3" t="s">
        <v>1015</v>
      </c>
      <c r="B7" s="3" t="s">
        <v>1016</v>
      </c>
      <c r="C7" s="3" t="s">
        <v>1012</v>
      </c>
      <c r="D7" s="3" t="s">
        <v>532</v>
      </c>
      <c r="E7" s="3" t="s">
        <v>8</v>
      </c>
      <c r="F7" s="3" t="s">
        <v>8</v>
      </c>
      <c r="G7" s="3" t="s">
        <v>1017</v>
      </c>
      <c r="H7" s="3" t="s">
        <v>1018</v>
      </c>
      <c r="I7" s="3" t="s">
        <v>626</v>
      </c>
      <c r="J7" s="3"/>
    </row>
    <row r="8" spans="1:10">
      <c r="A8" s="3" t="s">
        <v>301</v>
      </c>
      <c r="B8" s="3" t="s">
        <v>1019</v>
      </c>
      <c r="C8" s="3" t="s">
        <v>1020</v>
      </c>
      <c r="D8" s="3" t="s">
        <v>1021</v>
      </c>
      <c r="E8" s="3" t="s">
        <v>1022</v>
      </c>
      <c r="F8" s="3" t="s">
        <v>8</v>
      </c>
      <c r="G8" s="3" t="s">
        <v>1023</v>
      </c>
      <c r="H8" s="3" t="s">
        <v>1024</v>
      </c>
      <c r="I8" s="3" t="s">
        <v>626</v>
      </c>
      <c r="J8" s="3"/>
    </row>
    <row r="9" spans="1:10">
      <c r="A9" s="3" t="s">
        <v>1025</v>
      </c>
      <c r="B9" s="3" t="s">
        <v>1026</v>
      </c>
      <c r="C9" s="3" t="s">
        <v>98</v>
      </c>
      <c r="D9" s="3" t="s">
        <v>1027</v>
      </c>
      <c r="E9" s="3" t="s">
        <v>1022</v>
      </c>
      <c r="F9" s="3" t="s">
        <v>8</v>
      </c>
      <c r="G9" s="3" t="s">
        <v>1028</v>
      </c>
      <c r="H9" s="3" t="s">
        <v>1029</v>
      </c>
      <c r="I9" s="3" t="s">
        <v>626</v>
      </c>
      <c r="J9" s="3"/>
    </row>
    <row r="10" spans="1:10">
      <c r="A10" s="3" t="s">
        <v>368</v>
      </c>
      <c r="B10" s="3" t="s">
        <v>1030</v>
      </c>
      <c r="C10" s="3" t="s">
        <v>104</v>
      </c>
      <c r="D10" s="3" t="s">
        <v>1031</v>
      </c>
      <c r="E10" s="3" t="s">
        <v>1022</v>
      </c>
      <c r="F10" s="3" t="s">
        <v>8</v>
      </c>
      <c r="G10" s="3" t="s">
        <v>1032</v>
      </c>
      <c r="H10" s="3" t="s">
        <v>1033</v>
      </c>
      <c r="I10" s="3" t="s">
        <v>626</v>
      </c>
      <c r="J10" s="3"/>
    </row>
    <row r="11" spans="1:10">
      <c r="A11" s="3" t="s">
        <v>419</v>
      </c>
      <c r="B11" s="3" t="s">
        <v>1034</v>
      </c>
      <c r="C11" s="3" t="s">
        <v>110</v>
      </c>
      <c r="D11" s="3" t="s">
        <v>1035</v>
      </c>
      <c r="E11" s="3" t="s">
        <v>1022</v>
      </c>
      <c r="F11" s="3" t="s">
        <v>8</v>
      </c>
      <c r="G11" s="3" t="s">
        <v>1036</v>
      </c>
      <c r="H11" s="3" t="s">
        <v>1037</v>
      </c>
      <c r="I11" s="3" t="s">
        <v>626</v>
      </c>
      <c r="J11" s="3"/>
    </row>
    <row r="12" spans="1:10">
      <c r="A12" s="3" t="s">
        <v>894</v>
      </c>
      <c r="B12" s="3" t="s">
        <v>1038</v>
      </c>
      <c r="C12" s="3" t="s">
        <v>1039</v>
      </c>
      <c r="D12" s="3" t="s">
        <v>532</v>
      </c>
      <c r="E12" s="3" t="s">
        <v>8</v>
      </c>
      <c r="F12" s="3" t="s">
        <v>8</v>
      </c>
      <c r="G12" s="3" t="s">
        <v>1040</v>
      </c>
      <c r="H12" s="3" t="s">
        <v>1041</v>
      </c>
      <c r="I12" s="3" t="s">
        <v>626</v>
      </c>
      <c r="J12" s="3"/>
    </row>
    <row r="13" spans="1:10">
      <c r="A13" s="3" t="s">
        <v>1042</v>
      </c>
      <c r="B13" s="3" t="s">
        <v>1043</v>
      </c>
      <c r="C13" s="3" t="s">
        <v>122</v>
      </c>
      <c r="D13" s="3" t="s">
        <v>532</v>
      </c>
      <c r="E13" s="3" t="s">
        <v>8</v>
      </c>
      <c r="F13" s="3" t="s">
        <v>8</v>
      </c>
      <c r="G13" s="3" t="s">
        <v>1044</v>
      </c>
      <c r="H13" s="3" t="s">
        <v>1045</v>
      </c>
      <c r="I13" s="3" t="s">
        <v>626</v>
      </c>
      <c r="J13" s="3"/>
    </row>
    <row r="14" spans="1:10">
      <c r="A14" s="3" t="s">
        <v>1046</v>
      </c>
      <c r="B14" s="3" t="s">
        <v>1047</v>
      </c>
      <c r="C14" s="3" t="s">
        <v>1048</v>
      </c>
      <c r="D14" s="3" t="s">
        <v>126</v>
      </c>
      <c r="E14" s="3" t="s">
        <v>1022</v>
      </c>
      <c r="F14" s="3" t="s">
        <v>8</v>
      </c>
      <c r="G14" s="3" t="s">
        <v>1049</v>
      </c>
      <c r="H14" s="3" t="s">
        <v>1050</v>
      </c>
      <c r="I14" s="3" t="s">
        <v>626</v>
      </c>
      <c r="J14" s="3"/>
    </row>
    <row r="15" spans="1:10">
      <c r="A15" s="3" t="s">
        <v>540</v>
      </c>
      <c r="B15" s="3" t="s">
        <v>1051</v>
      </c>
      <c r="C15" s="3" t="s">
        <v>135</v>
      </c>
      <c r="D15" s="3" t="s">
        <v>532</v>
      </c>
      <c r="E15" s="3" t="s">
        <v>1022</v>
      </c>
      <c r="F15" s="3" t="s">
        <v>8</v>
      </c>
      <c r="G15" s="3" t="s">
        <v>1052</v>
      </c>
      <c r="H15" s="3" t="s">
        <v>1053</v>
      </c>
      <c r="I15" s="3" t="s">
        <v>626</v>
      </c>
      <c r="J15" s="3"/>
    </row>
    <row r="16" spans="1:10">
      <c r="A16" s="3" t="s">
        <v>1054</v>
      </c>
      <c r="B16" s="3" t="s">
        <v>1055</v>
      </c>
      <c r="C16" s="3" t="s">
        <v>1056</v>
      </c>
      <c r="D16" s="3" t="s">
        <v>532</v>
      </c>
      <c r="E16" s="3" t="s">
        <v>8</v>
      </c>
      <c r="F16" s="3" t="s">
        <v>8</v>
      </c>
      <c r="G16" s="3" t="s">
        <v>1057</v>
      </c>
      <c r="H16" s="3" t="s">
        <v>1058</v>
      </c>
      <c r="I16" s="3" t="s">
        <v>626</v>
      </c>
      <c r="J16" s="3"/>
    </row>
    <row r="17" spans="1:10">
      <c r="A17" s="3" t="s">
        <v>1059</v>
      </c>
      <c r="B17" s="3" t="s">
        <v>1060</v>
      </c>
      <c r="C17" s="3" t="s">
        <v>1061</v>
      </c>
      <c r="D17" s="3" t="s">
        <v>1021</v>
      </c>
      <c r="E17" s="3" t="s">
        <v>25</v>
      </c>
      <c r="F17" s="3" t="s">
        <v>25</v>
      </c>
      <c r="G17" s="3" t="s">
        <v>1062</v>
      </c>
      <c r="H17" s="3" t="s">
        <v>1063</v>
      </c>
      <c r="I17" s="3" t="s">
        <v>626</v>
      </c>
      <c r="J17" s="3"/>
    </row>
    <row r="18" spans="1:10">
      <c r="A18" s="3" t="s">
        <v>1064</v>
      </c>
      <c r="B18" s="3" t="s">
        <v>1065</v>
      </c>
      <c r="C18" s="3" t="s">
        <v>1066</v>
      </c>
      <c r="D18" s="3" t="s">
        <v>126</v>
      </c>
      <c r="E18" s="3" t="s">
        <v>1022</v>
      </c>
      <c r="F18" s="3" t="s">
        <v>8</v>
      </c>
      <c r="G18" s="3" t="s">
        <v>1067</v>
      </c>
      <c r="H18" s="3" t="s">
        <v>1068</v>
      </c>
      <c r="I18" s="3" t="s">
        <v>626</v>
      </c>
      <c r="J18" s="3"/>
    </row>
  </sheetData>
  <mergeCells count="1">
    <mergeCell ref="A1:J1"/>
  </mergeCells>
  <dataValidations count="1">
    <dataValidation type="list" sqref="I4:I18" xr:uid="{00000000-0002-0000-0900-000000000000}">
      <formula1>"Planned,In Progress,Passed,Failed,Waived"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workbookViewId="0"/>
  </sheetViews>
  <sheetFormatPr defaultRowHeight="14"/>
  <cols>
    <col min="1" max="1" width="10" customWidth="1"/>
    <col min="2" max="2" width="13" customWidth="1"/>
    <col min="3" max="3" width="16" customWidth="1"/>
    <col min="4" max="4" width="48" customWidth="1"/>
    <col min="5" max="6" width="42" customWidth="1"/>
    <col min="7" max="7" width="20" customWidth="1"/>
    <col min="8" max="8" width="13" customWidth="1"/>
    <col min="9" max="9" width="22" customWidth="1"/>
  </cols>
  <sheetData>
    <row r="1" spans="1:9" ht="20">
      <c r="A1" s="11" t="s">
        <v>1069</v>
      </c>
      <c r="B1" s="11"/>
      <c r="C1" s="11"/>
      <c r="D1" s="11"/>
      <c r="E1" s="11"/>
      <c r="F1" s="11"/>
      <c r="G1" s="11"/>
      <c r="H1" s="11"/>
      <c r="I1" s="11"/>
    </row>
    <row r="3" spans="1:9">
      <c r="A3" s="1" t="s">
        <v>142</v>
      </c>
      <c r="B3" s="1" t="s">
        <v>1070</v>
      </c>
      <c r="C3" s="1" t="s">
        <v>1071</v>
      </c>
      <c r="D3" s="1" t="s">
        <v>1072</v>
      </c>
      <c r="E3" s="1" t="s">
        <v>1073</v>
      </c>
      <c r="F3" s="1" t="s">
        <v>847</v>
      </c>
      <c r="G3" s="1" t="s">
        <v>1074</v>
      </c>
      <c r="H3" s="1" t="s">
        <v>58</v>
      </c>
      <c r="I3" s="1" t="s">
        <v>1075</v>
      </c>
    </row>
    <row r="4" spans="1:9" ht="28">
      <c r="A4" s="3" t="s">
        <v>1076</v>
      </c>
      <c r="B4" s="4">
        <v>46284</v>
      </c>
      <c r="C4" s="3" t="s">
        <v>171</v>
      </c>
      <c r="D4" s="3" t="s">
        <v>1077</v>
      </c>
      <c r="E4" s="3" t="s">
        <v>1078</v>
      </c>
      <c r="F4" s="3" t="s">
        <v>1079</v>
      </c>
      <c r="G4" s="3" t="s">
        <v>572</v>
      </c>
      <c r="H4" s="3" t="s">
        <v>1080</v>
      </c>
      <c r="I4" s="3" t="s">
        <v>1081</v>
      </c>
    </row>
    <row r="5" spans="1:9" ht="28">
      <c r="A5" s="3" t="s">
        <v>1082</v>
      </c>
      <c r="B5" s="4">
        <v>46284</v>
      </c>
      <c r="C5" s="3" t="s">
        <v>171</v>
      </c>
      <c r="D5" s="3" t="s">
        <v>29</v>
      </c>
      <c r="E5" s="3" t="s">
        <v>1083</v>
      </c>
      <c r="F5" s="3" t="s">
        <v>1084</v>
      </c>
      <c r="G5" s="3" t="s">
        <v>572</v>
      </c>
      <c r="H5" s="3" t="s">
        <v>1080</v>
      </c>
      <c r="I5" s="3" t="s">
        <v>1081</v>
      </c>
    </row>
    <row r="6" spans="1:9">
      <c r="A6" s="3" t="s">
        <v>1085</v>
      </c>
      <c r="B6" s="4">
        <v>46284</v>
      </c>
      <c r="C6" s="3" t="s">
        <v>171</v>
      </c>
      <c r="D6" s="3" t="s">
        <v>1086</v>
      </c>
      <c r="E6" s="3" t="s">
        <v>1087</v>
      </c>
      <c r="F6" s="3" t="s">
        <v>1088</v>
      </c>
      <c r="G6" s="3" t="s">
        <v>572</v>
      </c>
      <c r="H6" s="3" t="s">
        <v>1080</v>
      </c>
      <c r="I6" s="3" t="s">
        <v>1081</v>
      </c>
    </row>
    <row r="7" spans="1:9">
      <c r="A7" s="3" t="s">
        <v>1089</v>
      </c>
      <c r="B7" s="4">
        <v>46284</v>
      </c>
      <c r="C7" s="3" t="s">
        <v>185</v>
      </c>
      <c r="D7" s="3" t="s">
        <v>1090</v>
      </c>
      <c r="E7" s="3" t="s">
        <v>1091</v>
      </c>
      <c r="F7" s="3" t="s">
        <v>1092</v>
      </c>
      <c r="G7" s="3" t="s">
        <v>572</v>
      </c>
      <c r="H7" s="3" t="s">
        <v>1080</v>
      </c>
      <c r="I7" s="3" t="s">
        <v>1081</v>
      </c>
    </row>
    <row r="8" spans="1:9">
      <c r="A8" s="3" t="s">
        <v>1093</v>
      </c>
      <c r="B8" s="4">
        <v>46284</v>
      </c>
      <c r="C8" s="3" t="s">
        <v>153</v>
      </c>
      <c r="D8" s="3" t="s">
        <v>1094</v>
      </c>
      <c r="E8" s="3" t="s">
        <v>1095</v>
      </c>
      <c r="F8" s="3" t="s">
        <v>1096</v>
      </c>
      <c r="G8" s="3" t="s">
        <v>572</v>
      </c>
      <c r="H8" s="3" t="s">
        <v>1080</v>
      </c>
      <c r="I8" s="3" t="s">
        <v>1081</v>
      </c>
    </row>
    <row r="9" spans="1:9" ht="28">
      <c r="A9" s="3" t="s">
        <v>1097</v>
      </c>
      <c r="B9" s="4">
        <v>46284</v>
      </c>
      <c r="C9" s="3" t="s">
        <v>153</v>
      </c>
      <c r="D9" s="3" t="s">
        <v>1098</v>
      </c>
      <c r="E9" s="3" t="s">
        <v>1099</v>
      </c>
      <c r="F9" s="3" t="s">
        <v>1100</v>
      </c>
      <c r="G9" s="3" t="s">
        <v>572</v>
      </c>
      <c r="H9" s="3" t="s">
        <v>1080</v>
      </c>
      <c r="I9" s="3" t="s">
        <v>1081</v>
      </c>
    </row>
    <row r="10" spans="1:9">
      <c r="A10" t="s">
        <v>1101</v>
      </c>
      <c r="B10" s="2" t="s">
        <v>1102</v>
      </c>
      <c r="C10" t="s">
        <v>171</v>
      </c>
      <c r="D10" t="s">
        <v>1103</v>
      </c>
      <c r="E10" t="s">
        <v>1104</v>
      </c>
      <c r="F10" t="s">
        <v>1105</v>
      </c>
      <c r="G10" t="s">
        <v>572</v>
      </c>
      <c r="H10" t="s">
        <v>1080</v>
      </c>
      <c r="I10" t="s">
        <v>1106</v>
      </c>
    </row>
  </sheetData>
  <mergeCells count="1">
    <mergeCell ref="A1:I1"/>
  </mergeCells>
  <dataValidations count="1">
    <dataValidation type="list" sqref="H4:H9" xr:uid="{00000000-0002-0000-0A00-000000000000}">
      <formula1>"Proposed,Approved,Rejected,Superseded"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6"/>
  <sheetViews>
    <sheetView workbookViewId="0"/>
  </sheetViews>
  <sheetFormatPr defaultRowHeight="14"/>
  <cols>
    <col min="1" max="1" width="8" customWidth="1"/>
    <col min="2" max="2" width="32" customWidth="1"/>
    <col min="3" max="4" width="12" customWidth="1"/>
    <col min="5" max="5" width="24" customWidth="1"/>
    <col min="6" max="6" width="14" customWidth="1"/>
    <col min="7" max="7" width="11" customWidth="1"/>
    <col min="8" max="27" width="10" customWidth="1"/>
  </cols>
  <sheetData>
    <row r="1" spans="1:27" ht="20">
      <c r="A1" s="11" t="s">
        <v>1107</v>
      </c>
      <c r="B1" s="11"/>
      <c r="C1" s="11"/>
      <c r="D1" s="11"/>
      <c r="E1" s="11"/>
      <c r="F1" s="11"/>
      <c r="G1" s="11"/>
    </row>
    <row r="2" spans="1:27">
      <c r="H2" s="2">
        <v>46295</v>
      </c>
      <c r="I2" s="2">
        <v>46326</v>
      </c>
      <c r="J2" s="2">
        <v>46356</v>
      </c>
      <c r="K2" s="2">
        <v>46387</v>
      </c>
      <c r="L2" s="2">
        <v>46418</v>
      </c>
      <c r="M2" s="2">
        <v>46446</v>
      </c>
      <c r="N2" s="2">
        <v>46477</v>
      </c>
      <c r="O2" s="2">
        <v>46507</v>
      </c>
      <c r="P2" s="2">
        <v>46538</v>
      </c>
      <c r="Q2" s="2">
        <v>46568</v>
      </c>
      <c r="R2" s="2">
        <v>46599</v>
      </c>
      <c r="S2" s="2">
        <v>46630</v>
      </c>
      <c r="T2" s="2">
        <v>46660</v>
      </c>
      <c r="U2" s="2">
        <v>46691</v>
      </c>
      <c r="V2" s="2">
        <v>46721</v>
      </c>
      <c r="W2" s="2">
        <v>46752</v>
      </c>
      <c r="X2" s="2">
        <v>46783</v>
      </c>
      <c r="Y2" s="2">
        <v>46812</v>
      </c>
      <c r="Z2" s="2">
        <v>46843</v>
      </c>
      <c r="AA2" s="2">
        <v>46873</v>
      </c>
    </row>
    <row r="3" spans="1:27">
      <c r="A3" s="1" t="s">
        <v>50</v>
      </c>
      <c r="B3" s="1" t="s">
        <v>51</v>
      </c>
      <c r="C3" s="1" t="s">
        <v>52</v>
      </c>
      <c r="D3" s="1" t="s">
        <v>53</v>
      </c>
      <c r="E3" s="1" t="s">
        <v>57</v>
      </c>
      <c r="F3" s="1" t="s">
        <v>58</v>
      </c>
      <c r="G3" s="1" t="s">
        <v>59</v>
      </c>
      <c r="H3" s="7">
        <v>46266</v>
      </c>
      <c r="I3" s="7">
        <v>46296</v>
      </c>
      <c r="J3" s="7">
        <v>46327</v>
      </c>
      <c r="K3" s="7">
        <v>46357</v>
      </c>
      <c r="L3" s="7">
        <v>46388</v>
      </c>
      <c r="M3" s="7">
        <v>46419</v>
      </c>
      <c r="N3" s="7">
        <v>46447</v>
      </c>
      <c r="O3" s="7">
        <v>46478</v>
      </c>
      <c r="P3" s="7">
        <v>46508</v>
      </c>
      <c r="Q3" s="7">
        <v>46539</v>
      </c>
      <c r="R3" s="7">
        <v>46569</v>
      </c>
      <c r="S3" s="7">
        <v>46600</v>
      </c>
      <c r="T3" s="7">
        <v>46631</v>
      </c>
      <c r="U3" s="7">
        <v>46661</v>
      </c>
      <c r="V3" s="7">
        <v>46692</v>
      </c>
      <c r="W3" s="7">
        <v>46722</v>
      </c>
      <c r="X3" s="7">
        <v>46753</v>
      </c>
      <c r="Y3" s="7">
        <v>46784</v>
      </c>
      <c r="Z3" s="7">
        <v>46813</v>
      </c>
      <c r="AA3" s="7">
        <v>46844</v>
      </c>
    </row>
    <row r="4" spans="1:27">
      <c r="A4" s="3" t="s">
        <v>61</v>
      </c>
      <c r="B4" s="3" t="s">
        <v>62</v>
      </c>
      <c r="C4" s="4">
        <v>46286</v>
      </c>
      <c r="D4" s="4">
        <v>46311</v>
      </c>
      <c r="E4" s="3" t="s">
        <v>65</v>
      </c>
      <c r="F4" s="3" t="s">
        <v>66</v>
      </c>
      <c r="G4" s="6">
        <v>0.75</v>
      </c>
      <c r="H4" s="8" t="str">
        <f t="shared" ref="H4:Q16" si="0">IF(AND(H$3&lt;=$D4,H$2&gt;=$C4),"■","")</f>
        <v>■</v>
      </c>
      <c r="I4" s="8" t="str">
        <f t="shared" si="0"/>
        <v>■</v>
      </c>
      <c r="J4" s="8" t="str">
        <f t="shared" si="0"/>
        <v/>
      </c>
      <c r="K4" s="8" t="str">
        <f t="shared" si="0"/>
        <v/>
      </c>
      <c r="L4" s="8" t="str">
        <f t="shared" si="0"/>
        <v/>
      </c>
      <c r="M4" s="8" t="str">
        <f t="shared" si="0"/>
        <v/>
      </c>
      <c r="N4" s="8" t="str">
        <f t="shared" si="0"/>
        <v/>
      </c>
      <c r="O4" s="8" t="str">
        <f t="shared" si="0"/>
        <v/>
      </c>
      <c r="P4" s="8" t="str">
        <f t="shared" si="0"/>
        <v/>
      </c>
      <c r="Q4" s="8" t="str">
        <f t="shared" si="0"/>
        <v/>
      </c>
      <c r="R4" s="8" t="str">
        <f t="shared" ref="R4:AA16" si="1">IF(AND(R$3&lt;=$D4,R$2&gt;=$C4),"■","")</f>
        <v/>
      </c>
      <c r="S4" s="8" t="str">
        <f t="shared" si="1"/>
        <v/>
      </c>
      <c r="T4" s="8" t="str">
        <f t="shared" si="1"/>
        <v/>
      </c>
      <c r="U4" s="8" t="str">
        <f t="shared" si="1"/>
        <v/>
      </c>
      <c r="V4" s="8" t="str">
        <f t="shared" si="1"/>
        <v/>
      </c>
      <c r="W4" s="8" t="str">
        <f t="shared" si="1"/>
        <v/>
      </c>
      <c r="X4" s="8" t="str">
        <f t="shared" si="1"/>
        <v/>
      </c>
      <c r="Y4" s="8" t="str">
        <f t="shared" si="1"/>
        <v/>
      </c>
      <c r="Z4" s="8" t="str">
        <f t="shared" si="1"/>
        <v/>
      </c>
      <c r="AA4" s="8" t="str">
        <f t="shared" si="1"/>
        <v/>
      </c>
    </row>
    <row r="5" spans="1:27">
      <c r="A5" s="3" t="s">
        <v>69</v>
      </c>
      <c r="B5" s="3" t="s">
        <v>70</v>
      </c>
      <c r="C5" s="4">
        <v>46314</v>
      </c>
      <c r="D5" s="4">
        <v>46367</v>
      </c>
      <c r="E5" s="3" t="s">
        <v>73</v>
      </c>
      <c r="F5" s="3" t="s">
        <v>74</v>
      </c>
      <c r="G5" s="6">
        <v>0</v>
      </c>
      <c r="H5" s="8" t="str">
        <f t="shared" si="0"/>
        <v/>
      </c>
      <c r="I5" s="8" t="str">
        <f t="shared" si="0"/>
        <v>■</v>
      </c>
      <c r="J5" s="8" t="str">
        <f t="shared" si="0"/>
        <v>■</v>
      </c>
      <c r="K5" s="8" t="str">
        <f t="shared" si="0"/>
        <v>■</v>
      </c>
      <c r="L5" s="8" t="str">
        <f t="shared" si="0"/>
        <v/>
      </c>
      <c r="M5" s="8" t="str">
        <f t="shared" si="0"/>
        <v/>
      </c>
      <c r="N5" s="8" t="str">
        <f t="shared" si="0"/>
        <v/>
      </c>
      <c r="O5" s="8" t="str">
        <f t="shared" si="0"/>
        <v/>
      </c>
      <c r="P5" s="8" t="str">
        <f t="shared" si="0"/>
        <v/>
      </c>
      <c r="Q5" s="8" t="str">
        <f t="shared" si="0"/>
        <v/>
      </c>
      <c r="R5" s="8" t="str">
        <f t="shared" si="1"/>
        <v/>
      </c>
      <c r="S5" s="8" t="str">
        <f t="shared" si="1"/>
        <v/>
      </c>
      <c r="T5" s="8" t="str">
        <f t="shared" si="1"/>
        <v/>
      </c>
      <c r="U5" s="8" t="str">
        <f t="shared" si="1"/>
        <v/>
      </c>
      <c r="V5" s="8" t="str">
        <f t="shared" si="1"/>
        <v/>
      </c>
      <c r="W5" s="8" t="str">
        <f t="shared" si="1"/>
        <v/>
      </c>
      <c r="X5" s="8" t="str">
        <f t="shared" si="1"/>
        <v/>
      </c>
      <c r="Y5" s="8" t="str">
        <f t="shared" si="1"/>
        <v/>
      </c>
      <c r="Z5" s="8" t="str">
        <f t="shared" si="1"/>
        <v/>
      </c>
      <c r="AA5" s="8" t="str">
        <f t="shared" si="1"/>
        <v/>
      </c>
    </row>
    <row r="6" spans="1:27" ht="28">
      <c r="A6" s="3" t="s">
        <v>76</v>
      </c>
      <c r="B6" s="3" t="s">
        <v>77</v>
      </c>
      <c r="C6" s="4">
        <v>46370</v>
      </c>
      <c r="D6" s="4">
        <v>46430</v>
      </c>
      <c r="E6" s="3" t="s">
        <v>73</v>
      </c>
      <c r="F6" s="3" t="s">
        <v>74</v>
      </c>
      <c r="G6" s="6">
        <v>0</v>
      </c>
      <c r="H6" s="8" t="str">
        <f t="shared" si="0"/>
        <v/>
      </c>
      <c r="I6" s="8" t="str">
        <f t="shared" si="0"/>
        <v/>
      </c>
      <c r="J6" s="8" t="str">
        <f t="shared" si="0"/>
        <v/>
      </c>
      <c r="K6" s="8" t="str">
        <f t="shared" si="0"/>
        <v>■</v>
      </c>
      <c r="L6" s="8" t="str">
        <f t="shared" si="0"/>
        <v>■</v>
      </c>
      <c r="M6" s="8" t="str">
        <f t="shared" si="0"/>
        <v>■</v>
      </c>
      <c r="N6" s="8" t="str">
        <f t="shared" si="0"/>
        <v/>
      </c>
      <c r="O6" s="8" t="str">
        <f t="shared" si="0"/>
        <v/>
      </c>
      <c r="P6" s="8" t="str">
        <f t="shared" si="0"/>
        <v/>
      </c>
      <c r="Q6" s="8" t="str">
        <f t="shared" si="0"/>
        <v/>
      </c>
      <c r="R6" s="8" t="str">
        <f t="shared" si="1"/>
        <v/>
      </c>
      <c r="S6" s="8" t="str">
        <f t="shared" si="1"/>
        <v/>
      </c>
      <c r="T6" s="8" t="str">
        <f t="shared" si="1"/>
        <v/>
      </c>
      <c r="U6" s="8" t="str">
        <f t="shared" si="1"/>
        <v/>
      </c>
      <c r="V6" s="8" t="str">
        <f t="shared" si="1"/>
        <v/>
      </c>
      <c r="W6" s="8" t="str">
        <f t="shared" si="1"/>
        <v/>
      </c>
      <c r="X6" s="8" t="str">
        <f t="shared" si="1"/>
        <v/>
      </c>
      <c r="Y6" s="8" t="str">
        <f t="shared" si="1"/>
        <v/>
      </c>
      <c r="Z6" s="8" t="str">
        <f t="shared" si="1"/>
        <v/>
      </c>
      <c r="AA6" s="8" t="str">
        <f t="shared" si="1"/>
        <v/>
      </c>
    </row>
    <row r="7" spans="1:27">
      <c r="A7" s="3" t="s">
        <v>81</v>
      </c>
      <c r="B7" s="3" t="s">
        <v>82</v>
      </c>
      <c r="C7" s="4">
        <v>46433</v>
      </c>
      <c r="D7" s="4">
        <v>46486</v>
      </c>
      <c r="E7" s="3" t="s">
        <v>73</v>
      </c>
      <c r="F7" s="3" t="s">
        <v>74</v>
      </c>
      <c r="G7" s="6">
        <v>0</v>
      </c>
      <c r="H7" s="8" t="str">
        <f t="shared" si="0"/>
        <v/>
      </c>
      <c r="I7" s="8" t="str">
        <f t="shared" si="0"/>
        <v/>
      </c>
      <c r="J7" s="8" t="str">
        <f t="shared" si="0"/>
        <v/>
      </c>
      <c r="K7" s="8" t="str">
        <f t="shared" si="0"/>
        <v/>
      </c>
      <c r="L7" s="8" t="str">
        <f t="shared" si="0"/>
        <v/>
      </c>
      <c r="M7" s="8" t="str">
        <f t="shared" si="0"/>
        <v>■</v>
      </c>
      <c r="N7" s="8" t="str">
        <f t="shared" si="0"/>
        <v>■</v>
      </c>
      <c r="O7" s="8" t="str">
        <f t="shared" si="0"/>
        <v>■</v>
      </c>
      <c r="P7" s="8" t="str">
        <f t="shared" si="0"/>
        <v/>
      </c>
      <c r="Q7" s="8" t="str">
        <f t="shared" si="0"/>
        <v/>
      </c>
      <c r="R7" s="8" t="str">
        <f t="shared" si="1"/>
        <v/>
      </c>
      <c r="S7" s="8" t="str">
        <f t="shared" si="1"/>
        <v/>
      </c>
      <c r="T7" s="8" t="str">
        <f t="shared" si="1"/>
        <v/>
      </c>
      <c r="U7" s="8" t="str">
        <f t="shared" si="1"/>
        <v/>
      </c>
      <c r="V7" s="8" t="str">
        <f t="shared" si="1"/>
        <v/>
      </c>
      <c r="W7" s="8" t="str">
        <f t="shared" si="1"/>
        <v/>
      </c>
      <c r="X7" s="8" t="str">
        <f t="shared" si="1"/>
        <v/>
      </c>
      <c r="Y7" s="8" t="str">
        <f t="shared" si="1"/>
        <v/>
      </c>
      <c r="Z7" s="8" t="str">
        <f t="shared" si="1"/>
        <v/>
      </c>
      <c r="AA7" s="8" t="str">
        <f t="shared" si="1"/>
        <v/>
      </c>
    </row>
    <row r="8" spans="1:27">
      <c r="A8" s="3" t="s">
        <v>86</v>
      </c>
      <c r="B8" s="3" t="s">
        <v>87</v>
      </c>
      <c r="C8" s="4">
        <v>46468</v>
      </c>
      <c r="D8" s="4">
        <v>46521</v>
      </c>
      <c r="E8" s="3" t="s">
        <v>73</v>
      </c>
      <c r="F8" s="3" t="s">
        <v>74</v>
      </c>
      <c r="G8" s="6">
        <v>0</v>
      </c>
      <c r="H8" s="8" t="str">
        <f t="shared" si="0"/>
        <v/>
      </c>
      <c r="I8" s="8" t="str">
        <f t="shared" si="0"/>
        <v/>
      </c>
      <c r="J8" s="8" t="str">
        <f t="shared" si="0"/>
        <v/>
      </c>
      <c r="K8" s="8" t="str">
        <f t="shared" si="0"/>
        <v/>
      </c>
      <c r="L8" s="8" t="str">
        <f t="shared" si="0"/>
        <v/>
      </c>
      <c r="M8" s="8" t="str">
        <f t="shared" si="0"/>
        <v/>
      </c>
      <c r="N8" s="8" t="str">
        <f t="shared" si="0"/>
        <v>■</v>
      </c>
      <c r="O8" s="8" t="str">
        <f t="shared" si="0"/>
        <v>■</v>
      </c>
      <c r="P8" s="8" t="str">
        <f t="shared" si="0"/>
        <v>■</v>
      </c>
      <c r="Q8" s="8" t="str">
        <f t="shared" si="0"/>
        <v/>
      </c>
      <c r="R8" s="8" t="str">
        <f t="shared" si="1"/>
        <v/>
      </c>
      <c r="S8" s="8" t="str">
        <f t="shared" si="1"/>
        <v/>
      </c>
      <c r="T8" s="8" t="str">
        <f t="shared" si="1"/>
        <v/>
      </c>
      <c r="U8" s="8" t="str">
        <f t="shared" si="1"/>
        <v/>
      </c>
      <c r="V8" s="8" t="str">
        <f t="shared" si="1"/>
        <v/>
      </c>
      <c r="W8" s="8" t="str">
        <f t="shared" si="1"/>
        <v/>
      </c>
      <c r="X8" s="8" t="str">
        <f t="shared" si="1"/>
        <v/>
      </c>
      <c r="Y8" s="8" t="str">
        <f t="shared" si="1"/>
        <v/>
      </c>
      <c r="Z8" s="8" t="str">
        <f t="shared" si="1"/>
        <v/>
      </c>
      <c r="AA8" s="8" t="str">
        <f t="shared" si="1"/>
        <v/>
      </c>
    </row>
    <row r="9" spans="1:27" ht="28">
      <c r="A9" s="3" t="s">
        <v>92</v>
      </c>
      <c r="B9" s="3" t="s">
        <v>93</v>
      </c>
      <c r="C9" s="4">
        <v>46503</v>
      </c>
      <c r="D9" s="4">
        <v>46563</v>
      </c>
      <c r="E9" s="3" t="s">
        <v>73</v>
      </c>
      <c r="F9" s="3" t="s">
        <v>74</v>
      </c>
      <c r="G9" s="6">
        <v>0</v>
      </c>
      <c r="H9" s="8" t="str">
        <f t="shared" si="0"/>
        <v/>
      </c>
      <c r="I9" s="8" t="str">
        <f t="shared" si="0"/>
        <v/>
      </c>
      <c r="J9" s="8" t="str">
        <f t="shared" si="0"/>
        <v/>
      </c>
      <c r="K9" s="8" t="str">
        <f t="shared" si="0"/>
        <v/>
      </c>
      <c r="L9" s="8" t="str">
        <f t="shared" si="0"/>
        <v/>
      </c>
      <c r="M9" s="8" t="str">
        <f t="shared" si="0"/>
        <v/>
      </c>
      <c r="N9" s="8" t="str">
        <f t="shared" si="0"/>
        <v/>
      </c>
      <c r="O9" s="8" t="str">
        <f t="shared" si="0"/>
        <v>■</v>
      </c>
      <c r="P9" s="8" t="str">
        <f t="shared" si="0"/>
        <v>■</v>
      </c>
      <c r="Q9" s="8" t="str">
        <f t="shared" si="0"/>
        <v>■</v>
      </c>
      <c r="R9" s="8" t="str">
        <f t="shared" si="1"/>
        <v/>
      </c>
      <c r="S9" s="8" t="str">
        <f t="shared" si="1"/>
        <v/>
      </c>
      <c r="T9" s="8" t="str">
        <f t="shared" si="1"/>
        <v/>
      </c>
      <c r="U9" s="8" t="str">
        <f t="shared" si="1"/>
        <v/>
      </c>
      <c r="V9" s="8" t="str">
        <f t="shared" si="1"/>
        <v/>
      </c>
      <c r="W9" s="8" t="str">
        <f t="shared" si="1"/>
        <v/>
      </c>
      <c r="X9" s="8" t="str">
        <f t="shared" si="1"/>
        <v/>
      </c>
      <c r="Y9" s="8" t="str">
        <f t="shared" si="1"/>
        <v/>
      </c>
      <c r="Z9" s="8" t="str">
        <f t="shared" si="1"/>
        <v/>
      </c>
      <c r="AA9" s="8" t="str">
        <f t="shared" si="1"/>
        <v/>
      </c>
    </row>
    <row r="10" spans="1:27">
      <c r="A10" s="3" t="s">
        <v>98</v>
      </c>
      <c r="B10" s="3" t="s">
        <v>99</v>
      </c>
      <c r="C10" s="4">
        <v>46552</v>
      </c>
      <c r="D10" s="4">
        <v>46619</v>
      </c>
      <c r="E10" s="3" t="s">
        <v>73</v>
      </c>
      <c r="F10" s="3" t="s">
        <v>74</v>
      </c>
      <c r="G10" s="6">
        <v>0</v>
      </c>
      <c r="H10" s="8" t="str">
        <f t="shared" si="0"/>
        <v/>
      </c>
      <c r="I10" s="8" t="str">
        <f t="shared" si="0"/>
        <v/>
      </c>
      <c r="J10" s="8" t="str">
        <f t="shared" si="0"/>
        <v/>
      </c>
      <c r="K10" s="8" t="str">
        <f t="shared" si="0"/>
        <v/>
      </c>
      <c r="L10" s="8" t="str">
        <f t="shared" si="0"/>
        <v/>
      </c>
      <c r="M10" s="8" t="str">
        <f t="shared" si="0"/>
        <v/>
      </c>
      <c r="N10" s="8" t="str">
        <f t="shared" si="0"/>
        <v/>
      </c>
      <c r="O10" s="8" t="str">
        <f t="shared" si="0"/>
        <v/>
      </c>
      <c r="P10" s="8" t="str">
        <f t="shared" si="0"/>
        <v/>
      </c>
      <c r="Q10" s="8" t="str">
        <f t="shared" si="0"/>
        <v>■</v>
      </c>
      <c r="R10" s="8" t="str">
        <f t="shared" si="1"/>
        <v>■</v>
      </c>
      <c r="S10" s="8" t="str">
        <f t="shared" si="1"/>
        <v>■</v>
      </c>
      <c r="T10" s="8" t="str">
        <f t="shared" si="1"/>
        <v/>
      </c>
      <c r="U10" s="8" t="str">
        <f t="shared" si="1"/>
        <v/>
      </c>
      <c r="V10" s="8" t="str">
        <f t="shared" si="1"/>
        <v/>
      </c>
      <c r="W10" s="8" t="str">
        <f t="shared" si="1"/>
        <v/>
      </c>
      <c r="X10" s="8" t="str">
        <f t="shared" si="1"/>
        <v/>
      </c>
      <c r="Y10" s="8" t="str">
        <f t="shared" si="1"/>
        <v/>
      </c>
      <c r="Z10" s="8" t="str">
        <f t="shared" si="1"/>
        <v/>
      </c>
      <c r="AA10" s="8" t="str">
        <f t="shared" si="1"/>
        <v/>
      </c>
    </row>
    <row r="11" spans="1:27">
      <c r="A11" s="3" t="s">
        <v>104</v>
      </c>
      <c r="B11" s="3" t="s">
        <v>105</v>
      </c>
      <c r="C11" s="4">
        <v>46608</v>
      </c>
      <c r="D11" s="4">
        <v>46682</v>
      </c>
      <c r="E11" s="3" t="s">
        <v>73</v>
      </c>
      <c r="F11" s="3" t="s">
        <v>74</v>
      </c>
      <c r="G11" s="6">
        <v>0</v>
      </c>
      <c r="H11" s="8" t="str">
        <f t="shared" si="0"/>
        <v/>
      </c>
      <c r="I11" s="8" t="str">
        <f t="shared" si="0"/>
        <v/>
      </c>
      <c r="J11" s="8" t="str">
        <f t="shared" si="0"/>
        <v/>
      </c>
      <c r="K11" s="8" t="str">
        <f t="shared" si="0"/>
        <v/>
      </c>
      <c r="L11" s="8" t="str">
        <f t="shared" si="0"/>
        <v/>
      </c>
      <c r="M11" s="8" t="str">
        <f t="shared" si="0"/>
        <v/>
      </c>
      <c r="N11" s="8" t="str">
        <f t="shared" si="0"/>
        <v/>
      </c>
      <c r="O11" s="8" t="str">
        <f t="shared" si="0"/>
        <v/>
      </c>
      <c r="P11" s="8" t="str">
        <f t="shared" si="0"/>
        <v/>
      </c>
      <c r="Q11" s="8" t="str">
        <f t="shared" si="0"/>
        <v/>
      </c>
      <c r="R11" s="8" t="str">
        <f t="shared" si="1"/>
        <v/>
      </c>
      <c r="S11" s="8" t="str">
        <f t="shared" si="1"/>
        <v>■</v>
      </c>
      <c r="T11" s="8" t="str">
        <f t="shared" si="1"/>
        <v>■</v>
      </c>
      <c r="U11" s="8" t="str">
        <f t="shared" si="1"/>
        <v>■</v>
      </c>
      <c r="V11" s="8" t="str">
        <f t="shared" si="1"/>
        <v/>
      </c>
      <c r="W11" s="8" t="str">
        <f t="shared" si="1"/>
        <v/>
      </c>
      <c r="X11" s="8" t="str">
        <f t="shared" si="1"/>
        <v/>
      </c>
      <c r="Y11" s="8" t="str">
        <f t="shared" si="1"/>
        <v/>
      </c>
      <c r="Z11" s="8" t="str">
        <f t="shared" si="1"/>
        <v/>
      </c>
      <c r="AA11" s="8" t="str">
        <f t="shared" si="1"/>
        <v/>
      </c>
    </row>
    <row r="12" spans="1:27">
      <c r="A12" s="3" t="s">
        <v>110</v>
      </c>
      <c r="B12" s="3" t="s">
        <v>111</v>
      </c>
      <c r="C12" s="4">
        <v>46664</v>
      </c>
      <c r="D12" s="4">
        <v>46717</v>
      </c>
      <c r="E12" s="3" t="s">
        <v>73</v>
      </c>
      <c r="F12" s="3" t="s">
        <v>74</v>
      </c>
      <c r="G12" s="6">
        <v>0</v>
      </c>
      <c r="H12" s="8" t="str">
        <f t="shared" si="0"/>
        <v/>
      </c>
      <c r="I12" s="8" t="str">
        <f t="shared" si="0"/>
        <v/>
      </c>
      <c r="J12" s="8" t="str">
        <f t="shared" si="0"/>
        <v/>
      </c>
      <c r="K12" s="8" t="str">
        <f t="shared" si="0"/>
        <v/>
      </c>
      <c r="L12" s="8" t="str">
        <f t="shared" si="0"/>
        <v/>
      </c>
      <c r="M12" s="8" t="str">
        <f t="shared" si="0"/>
        <v/>
      </c>
      <c r="N12" s="8" t="str">
        <f t="shared" si="0"/>
        <v/>
      </c>
      <c r="O12" s="8" t="str">
        <f t="shared" si="0"/>
        <v/>
      </c>
      <c r="P12" s="8" t="str">
        <f t="shared" si="0"/>
        <v/>
      </c>
      <c r="Q12" s="8" t="str">
        <f t="shared" si="0"/>
        <v/>
      </c>
      <c r="R12" s="8" t="str">
        <f t="shared" si="1"/>
        <v/>
      </c>
      <c r="S12" s="8" t="str">
        <f t="shared" si="1"/>
        <v/>
      </c>
      <c r="T12" s="8" t="str">
        <f t="shared" si="1"/>
        <v/>
      </c>
      <c r="U12" s="8" t="str">
        <f t="shared" si="1"/>
        <v>■</v>
      </c>
      <c r="V12" s="8" t="str">
        <f t="shared" si="1"/>
        <v>■</v>
      </c>
      <c r="W12" s="8" t="str">
        <f t="shared" si="1"/>
        <v/>
      </c>
      <c r="X12" s="8" t="str">
        <f t="shared" si="1"/>
        <v/>
      </c>
      <c r="Y12" s="8" t="str">
        <f t="shared" si="1"/>
        <v/>
      </c>
      <c r="Z12" s="8" t="str">
        <f t="shared" si="1"/>
        <v/>
      </c>
      <c r="AA12" s="8" t="str">
        <f t="shared" si="1"/>
        <v/>
      </c>
    </row>
    <row r="13" spans="1:27">
      <c r="A13" s="3" t="s">
        <v>116</v>
      </c>
      <c r="B13" s="3" t="s">
        <v>117</v>
      </c>
      <c r="C13" s="4">
        <v>46699</v>
      </c>
      <c r="D13" s="4">
        <v>46766</v>
      </c>
      <c r="E13" s="3" t="s">
        <v>73</v>
      </c>
      <c r="F13" s="3" t="s">
        <v>74</v>
      </c>
      <c r="G13" s="6">
        <v>0</v>
      </c>
      <c r="H13" s="8" t="str">
        <f t="shared" si="0"/>
        <v/>
      </c>
      <c r="I13" s="8" t="str">
        <f t="shared" si="0"/>
        <v/>
      </c>
      <c r="J13" s="8" t="str">
        <f t="shared" si="0"/>
        <v/>
      </c>
      <c r="K13" s="8" t="str">
        <f t="shared" si="0"/>
        <v/>
      </c>
      <c r="L13" s="8" t="str">
        <f t="shared" si="0"/>
        <v/>
      </c>
      <c r="M13" s="8" t="str">
        <f t="shared" si="0"/>
        <v/>
      </c>
      <c r="N13" s="8" t="str">
        <f t="shared" si="0"/>
        <v/>
      </c>
      <c r="O13" s="8" t="str">
        <f t="shared" si="0"/>
        <v/>
      </c>
      <c r="P13" s="8" t="str">
        <f t="shared" si="0"/>
        <v/>
      </c>
      <c r="Q13" s="8" t="str">
        <f t="shared" si="0"/>
        <v/>
      </c>
      <c r="R13" s="8" t="str">
        <f t="shared" si="1"/>
        <v/>
      </c>
      <c r="S13" s="8" t="str">
        <f t="shared" si="1"/>
        <v/>
      </c>
      <c r="T13" s="8" t="str">
        <f t="shared" si="1"/>
        <v/>
      </c>
      <c r="U13" s="8" t="str">
        <f t="shared" si="1"/>
        <v/>
      </c>
      <c r="V13" s="8" t="str">
        <f t="shared" si="1"/>
        <v>■</v>
      </c>
      <c r="W13" s="8" t="str">
        <f t="shared" si="1"/>
        <v>■</v>
      </c>
      <c r="X13" s="8" t="str">
        <f t="shared" si="1"/>
        <v>■</v>
      </c>
      <c r="Y13" s="8" t="str">
        <f t="shared" si="1"/>
        <v/>
      </c>
      <c r="Z13" s="8" t="str">
        <f t="shared" si="1"/>
        <v/>
      </c>
      <c r="AA13" s="8" t="str">
        <f t="shared" si="1"/>
        <v/>
      </c>
    </row>
    <row r="14" spans="1:27">
      <c r="A14" s="3" t="s">
        <v>122</v>
      </c>
      <c r="B14" s="3" t="s">
        <v>123</v>
      </c>
      <c r="C14" s="4">
        <v>46734</v>
      </c>
      <c r="D14" s="4">
        <v>46794</v>
      </c>
      <c r="E14" s="3" t="s">
        <v>126</v>
      </c>
      <c r="F14" s="3" t="s">
        <v>74</v>
      </c>
      <c r="G14" s="6">
        <v>0</v>
      </c>
      <c r="H14" s="8" t="str">
        <f t="shared" si="0"/>
        <v/>
      </c>
      <c r="I14" s="8" t="str">
        <f t="shared" si="0"/>
        <v/>
      </c>
      <c r="J14" s="8" t="str">
        <f t="shared" si="0"/>
        <v/>
      </c>
      <c r="K14" s="8" t="str">
        <f t="shared" si="0"/>
        <v/>
      </c>
      <c r="L14" s="8" t="str">
        <f t="shared" si="0"/>
        <v/>
      </c>
      <c r="M14" s="8" t="str">
        <f t="shared" si="0"/>
        <v/>
      </c>
      <c r="N14" s="8" t="str">
        <f t="shared" si="0"/>
        <v/>
      </c>
      <c r="O14" s="8" t="str">
        <f t="shared" si="0"/>
        <v/>
      </c>
      <c r="P14" s="8" t="str">
        <f t="shared" si="0"/>
        <v/>
      </c>
      <c r="Q14" s="8" t="str">
        <f t="shared" si="0"/>
        <v/>
      </c>
      <c r="R14" s="8" t="str">
        <f t="shared" si="1"/>
        <v/>
      </c>
      <c r="S14" s="8" t="str">
        <f t="shared" si="1"/>
        <v/>
      </c>
      <c r="T14" s="8" t="str">
        <f t="shared" si="1"/>
        <v/>
      </c>
      <c r="U14" s="8" t="str">
        <f t="shared" si="1"/>
        <v/>
      </c>
      <c r="V14" s="8" t="str">
        <f t="shared" si="1"/>
        <v/>
      </c>
      <c r="W14" s="8" t="str">
        <f t="shared" si="1"/>
        <v>■</v>
      </c>
      <c r="X14" s="8" t="str">
        <f t="shared" si="1"/>
        <v>■</v>
      </c>
      <c r="Y14" s="8" t="str">
        <f t="shared" si="1"/>
        <v>■</v>
      </c>
      <c r="Z14" s="8" t="str">
        <f t="shared" si="1"/>
        <v/>
      </c>
      <c r="AA14" s="8" t="str">
        <f t="shared" si="1"/>
        <v/>
      </c>
    </row>
    <row r="15" spans="1:27">
      <c r="A15" s="3" t="s">
        <v>129</v>
      </c>
      <c r="B15" s="3" t="s">
        <v>130</v>
      </c>
      <c r="C15" s="4">
        <v>46769</v>
      </c>
      <c r="D15" s="4">
        <v>46829</v>
      </c>
      <c r="E15" s="3" t="s">
        <v>73</v>
      </c>
      <c r="F15" s="3" t="s">
        <v>74</v>
      </c>
      <c r="G15" s="6">
        <v>0</v>
      </c>
      <c r="H15" s="8" t="str">
        <f t="shared" si="0"/>
        <v/>
      </c>
      <c r="I15" s="8" t="str">
        <f t="shared" si="0"/>
        <v/>
      </c>
      <c r="J15" s="8" t="str">
        <f t="shared" si="0"/>
        <v/>
      </c>
      <c r="K15" s="8" t="str">
        <f t="shared" si="0"/>
        <v/>
      </c>
      <c r="L15" s="8" t="str">
        <f t="shared" si="0"/>
        <v/>
      </c>
      <c r="M15" s="8" t="str">
        <f t="shared" si="0"/>
        <v/>
      </c>
      <c r="N15" s="8" t="str">
        <f t="shared" si="0"/>
        <v/>
      </c>
      <c r="O15" s="8" t="str">
        <f t="shared" si="0"/>
        <v/>
      </c>
      <c r="P15" s="8" t="str">
        <f t="shared" si="0"/>
        <v/>
      </c>
      <c r="Q15" s="8" t="str">
        <f t="shared" si="0"/>
        <v/>
      </c>
      <c r="R15" s="8" t="str">
        <f t="shared" si="1"/>
        <v/>
      </c>
      <c r="S15" s="8" t="str">
        <f t="shared" si="1"/>
        <v/>
      </c>
      <c r="T15" s="8" t="str">
        <f t="shared" si="1"/>
        <v/>
      </c>
      <c r="U15" s="8" t="str">
        <f t="shared" si="1"/>
        <v/>
      </c>
      <c r="V15" s="8" t="str">
        <f t="shared" si="1"/>
        <v/>
      </c>
      <c r="W15" s="8" t="str">
        <f t="shared" si="1"/>
        <v/>
      </c>
      <c r="X15" s="8" t="str">
        <f t="shared" si="1"/>
        <v>■</v>
      </c>
      <c r="Y15" s="8" t="str">
        <f t="shared" si="1"/>
        <v>■</v>
      </c>
      <c r="Z15" s="8" t="str">
        <f t="shared" si="1"/>
        <v>■</v>
      </c>
      <c r="AA15" s="8" t="str">
        <f t="shared" si="1"/>
        <v/>
      </c>
    </row>
    <row r="16" spans="1:27">
      <c r="A16" s="3" t="s">
        <v>135</v>
      </c>
      <c r="B16" s="3" t="s">
        <v>136</v>
      </c>
      <c r="C16" s="4">
        <v>46813</v>
      </c>
      <c r="D16" s="4">
        <v>46857</v>
      </c>
      <c r="E16" s="3" t="s">
        <v>126</v>
      </c>
      <c r="F16" s="3" t="s">
        <v>74</v>
      </c>
      <c r="G16" s="6">
        <v>0</v>
      </c>
      <c r="H16" s="8" t="str">
        <f t="shared" si="0"/>
        <v/>
      </c>
      <c r="I16" s="8" t="str">
        <f t="shared" si="0"/>
        <v/>
      </c>
      <c r="J16" s="8" t="str">
        <f t="shared" si="0"/>
        <v/>
      </c>
      <c r="K16" s="8" t="str">
        <f t="shared" si="0"/>
        <v/>
      </c>
      <c r="L16" s="8" t="str">
        <f t="shared" si="0"/>
        <v/>
      </c>
      <c r="M16" s="8" t="str">
        <f t="shared" si="0"/>
        <v/>
      </c>
      <c r="N16" s="8" t="str">
        <f t="shared" si="0"/>
        <v/>
      </c>
      <c r="O16" s="8" t="str">
        <f t="shared" si="0"/>
        <v/>
      </c>
      <c r="P16" s="8" t="str">
        <f t="shared" si="0"/>
        <v/>
      </c>
      <c r="Q16" s="8" t="str">
        <f t="shared" si="0"/>
        <v/>
      </c>
      <c r="R16" s="8" t="str">
        <f t="shared" si="1"/>
        <v/>
      </c>
      <c r="S16" s="8" t="str">
        <f t="shared" si="1"/>
        <v/>
      </c>
      <c r="T16" s="8" t="str">
        <f t="shared" si="1"/>
        <v/>
      </c>
      <c r="U16" s="8" t="str">
        <f t="shared" si="1"/>
        <v/>
      </c>
      <c r="V16" s="8" t="str">
        <f t="shared" si="1"/>
        <v/>
      </c>
      <c r="W16" s="8" t="str">
        <f t="shared" si="1"/>
        <v/>
      </c>
      <c r="X16" s="8" t="str">
        <f t="shared" si="1"/>
        <v/>
      </c>
      <c r="Y16" s="8" t="str">
        <f t="shared" si="1"/>
        <v/>
      </c>
      <c r="Z16" s="8" t="str">
        <f t="shared" si="1"/>
        <v>■</v>
      </c>
      <c r="AA16" s="8" t="str">
        <f t="shared" si="1"/>
        <v>■</v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1"/>
  <sheetViews>
    <sheetView workbookViewId="0"/>
  </sheetViews>
  <sheetFormatPr defaultRowHeight="14"/>
  <cols>
    <col min="1" max="1" width="34" customWidth="1"/>
    <col min="2" max="2" width="20" customWidth="1"/>
    <col min="4" max="4" width="10" customWidth="1"/>
    <col min="5" max="5" width="16" customWidth="1"/>
    <col min="6" max="6" width="12" customWidth="1"/>
    <col min="7" max="7" width="9" customWidth="1"/>
    <col min="9" max="9" width="16" customWidth="1"/>
    <col min="10" max="10" width="10" customWidth="1"/>
  </cols>
  <sheetData>
    <row r="1" spans="1:12" ht="20">
      <c r="A1" s="11" t="s">
        <v>1108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>
      <c r="A3" s="1" t="s">
        <v>1109</v>
      </c>
      <c r="B3" s="1" t="s">
        <v>1110</v>
      </c>
      <c r="D3" s="1" t="s">
        <v>50</v>
      </c>
      <c r="E3" s="1" t="s">
        <v>58</v>
      </c>
      <c r="F3" s="1" t="s">
        <v>59</v>
      </c>
      <c r="G3" s="1" t="s">
        <v>54</v>
      </c>
      <c r="I3" s="1" t="s">
        <v>1111</v>
      </c>
      <c r="J3" s="1" t="s">
        <v>1112</v>
      </c>
    </row>
    <row r="4" spans="1:12">
      <c r="A4" s="3" t="s">
        <v>1113</v>
      </c>
      <c r="B4" s="4">
        <v>46286</v>
      </c>
      <c r="D4" t="s">
        <v>61</v>
      </c>
      <c r="E4" t="s">
        <v>66</v>
      </c>
      <c r="F4" s="5">
        <v>0.75</v>
      </c>
      <c r="G4">
        <v>4</v>
      </c>
      <c r="I4" t="s">
        <v>74</v>
      </c>
      <c r="J4">
        <f>COUNTIF('Task Register'!J4:J111,I4)</f>
        <v>105</v>
      </c>
    </row>
    <row r="5" spans="1:12">
      <c r="A5" s="3" t="s">
        <v>11</v>
      </c>
      <c r="B5" s="4">
        <v>46860</v>
      </c>
      <c r="D5" t="s">
        <v>69</v>
      </c>
      <c r="E5" t="s">
        <v>74</v>
      </c>
      <c r="F5" s="5">
        <v>0</v>
      </c>
      <c r="G5">
        <v>8</v>
      </c>
      <c r="I5" t="s">
        <v>66</v>
      </c>
      <c r="J5">
        <f>COUNTIF('Task Register'!J4:J111,I5)</f>
        <v>0</v>
      </c>
    </row>
    <row r="6" spans="1:12">
      <c r="A6" s="3" t="s">
        <v>1114</v>
      </c>
      <c r="B6" s="3">
        <v>108</v>
      </c>
      <c r="D6" t="s">
        <v>76</v>
      </c>
      <c r="E6" t="s">
        <v>74</v>
      </c>
      <c r="F6" s="5">
        <v>0</v>
      </c>
      <c r="G6">
        <v>9</v>
      </c>
      <c r="I6" t="s">
        <v>1115</v>
      </c>
      <c r="J6">
        <f>COUNTIF('Task Register'!J4:J111,I6)</f>
        <v>0</v>
      </c>
    </row>
    <row r="7" spans="1:12">
      <c r="A7" s="3" t="s">
        <v>1116</v>
      </c>
      <c r="B7" s="3">
        <f>COUNTIF('Task Register'!J4:J111,"Done")</f>
        <v>3</v>
      </c>
      <c r="D7" t="s">
        <v>81</v>
      </c>
      <c r="E7" t="s">
        <v>74</v>
      </c>
      <c r="F7" s="5">
        <v>0</v>
      </c>
      <c r="G7">
        <v>8</v>
      </c>
      <c r="I7" t="s">
        <v>1117</v>
      </c>
      <c r="J7">
        <f>COUNTIF('Task Register'!J4:J111,I7)</f>
        <v>0</v>
      </c>
    </row>
    <row r="8" spans="1:12">
      <c r="A8" s="3" t="s">
        <v>1118</v>
      </c>
      <c r="B8" s="3">
        <f>COUNTIF('Task Register'!J4:J111,"In Progress")</f>
        <v>0</v>
      </c>
      <c r="D8" t="s">
        <v>86</v>
      </c>
      <c r="E8" t="s">
        <v>74</v>
      </c>
      <c r="F8" s="5">
        <v>0</v>
      </c>
      <c r="G8">
        <v>8</v>
      </c>
      <c r="I8" t="s">
        <v>156</v>
      </c>
      <c r="J8">
        <f>COUNTIF('Task Register'!J4:J111,I8)</f>
        <v>3</v>
      </c>
    </row>
    <row r="9" spans="1:12">
      <c r="A9" s="3" t="s">
        <v>1119</v>
      </c>
      <c r="B9" s="3">
        <f>COUNTIF('Task Register'!J4:J111,"At Risk")+COUNTIF('Task Register'!J4:J111,"Blocked")</f>
        <v>0</v>
      </c>
      <c r="D9" t="s">
        <v>92</v>
      </c>
      <c r="E9" t="s">
        <v>74</v>
      </c>
      <c r="F9" s="5">
        <v>0</v>
      </c>
      <c r="G9">
        <v>9</v>
      </c>
    </row>
    <row r="10" spans="1:12">
      <c r="A10" s="3" t="s">
        <v>1120</v>
      </c>
      <c r="B10" s="6">
        <f>SUM('Task Register'!K4:K111)/108</f>
        <v>2.7777777777777776E-2</v>
      </c>
      <c r="D10" t="s">
        <v>98</v>
      </c>
      <c r="E10" t="s">
        <v>74</v>
      </c>
      <c r="F10" s="5">
        <v>0</v>
      </c>
      <c r="G10">
        <v>10</v>
      </c>
    </row>
    <row r="11" spans="1:12">
      <c r="A11" s="3" t="s">
        <v>1121</v>
      </c>
      <c r="B11" s="3">
        <f>COUNTIF(Risks!K4:K23,"Open")+COUNTIF(Risks!K4:K23,"Mitigating")</f>
        <v>19</v>
      </c>
      <c r="D11" t="s">
        <v>104</v>
      </c>
      <c r="E11" t="s">
        <v>74</v>
      </c>
      <c r="F11" s="5">
        <v>0</v>
      </c>
      <c r="G11">
        <v>11</v>
      </c>
    </row>
    <row r="12" spans="1:12">
      <c r="A12" s="3" t="s">
        <v>1122</v>
      </c>
      <c r="B12" s="3">
        <f>COUNTIF(Risks!F4:F23,"&gt;=15")</f>
        <v>6</v>
      </c>
      <c r="D12" t="s">
        <v>110</v>
      </c>
      <c r="E12" t="s">
        <v>74</v>
      </c>
      <c r="F12" s="5">
        <v>0</v>
      </c>
      <c r="G12">
        <v>8</v>
      </c>
    </row>
    <row r="13" spans="1:12">
      <c r="A13" s="3" t="s">
        <v>1123</v>
      </c>
      <c r="B13" s="3" t="s">
        <v>72</v>
      </c>
      <c r="D13" t="s">
        <v>116</v>
      </c>
      <c r="E13" t="s">
        <v>74</v>
      </c>
      <c r="F13" s="5">
        <v>0</v>
      </c>
      <c r="G13">
        <v>10</v>
      </c>
    </row>
    <row r="14" spans="1:12">
      <c r="D14" t="s">
        <v>122</v>
      </c>
      <c r="E14" t="s">
        <v>74</v>
      </c>
      <c r="F14" s="5">
        <v>0</v>
      </c>
      <c r="G14">
        <v>9</v>
      </c>
    </row>
    <row r="15" spans="1:12">
      <c r="A15" s="12" t="s">
        <v>1124</v>
      </c>
      <c r="B15" s="12"/>
      <c r="D15" t="s">
        <v>129</v>
      </c>
      <c r="E15" t="s">
        <v>74</v>
      </c>
      <c r="F15" s="5">
        <v>0</v>
      </c>
      <c r="G15">
        <v>9</v>
      </c>
    </row>
    <row r="16" spans="1:12" ht="42">
      <c r="A16" s="9" t="s">
        <v>1125</v>
      </c>
      <c r="B16" s="3" t="s">
        <v>1126</v>
      </c>
      <c r="D16" t="s">
        <v>135</v>
      </c>
      <c r="E16" t="s">
        <v>74</v>
      </c>
      <c r="F16" s="5">
        <v>0</v>
      </c>
      <c r="G16">
        <v>7</v>
      </c>
    </row>
    <row r="17" spans="1:2" ht="56">
      <c r="A17" s="9" t="s">
        <v>1127</v>
      </c>
      <c r="B17" s="3" t="s">
        <v>1128</v>
      </c>
    </row>
    <row r="18" spans="1:2" ht="42">
      <c r="A18" s="9" t="s">
        <v>1129</v>
      </c>
      <c r="B18" s="3" t="s">
        <v>1130</v>
      </c>
    </row>
    <row r="19" spans="1:2" ht="56">
      <c r="A19" s="9" t="s">
        <v>1131</v>
      </c>
      <c r="B19" s="3" t="s">
        <v>1132</v>
      </c>
    </row>
    <row r="20" spans="1:2" ht="28">
      <c r="A20" s="9" t="s">
        <v>1133</v>
      </c>
      <c r="B20" s="3" t="s">
        <v>1134</v>
      </c>
    </row>
    <row r="21" spans="1:2" ht="42">
      <c r="A21" s="9" t="s">
        <v>1135</v>
      </c>
      <c r="B21" s="3" t="s">
        <v>1136</v>
      </c>
    </row>
  </sheetData>
  <mergeCells count="2">
    <mergeCell ref="A1:L1"/>
    <mergeCell ref="A15:B1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/>
  </sheetViews>
  <sheetFormatPr defaultRowHeight="14"/>
  <cols>
    <col min="1" max="1" width="18" customWidth="1"/>
    <col min="2" max="2" width="43" customWidth="1"/>
    <col min="3" max="3" width="28" customWidth="1"/>
    <col min="4" max="4" width="23" customWidth="1"/>
    <col min="5" max="5" width="38" customWidth="1"/>
    <col min="6" max="6" width="48" customWidth="1"/>
  </cols>
  <sheetData>
    <row r="1" spans="1:6" ht="20">
      <c r="A1" s="11" t="s">
        <v>1137</v>
      </c>
      <c r="B1" s="11"/>
      <c r="C1" s="11"/>
      <c r="D1" s="11"/>
      <c r="E1" s="11"/>
      <c r="F1" s="11"/>
    </row>
    <row r="3" spans="1:6">
      <c r="A3" s="1" t="s">
        <v>1138</v>
      </c>
      <c r="B3" s="1" t="s">
        <v>1139</v>
      </c>
      <c r="C3" s="1" t="s">
        <v>1140</v>
      </c>
      <c r="D3" s="1" t="s">
        <v>1141</v>
      </c>
      <c r="E3" s="1" t="s">
        <v>1142</v>
      </c>
      <c r="F3" s="1" t="s">
        <v>1143</v>
      </c>
    </row>
    <row r="4" spans="1:6">
      <c r="A4" s="3" t="s">
        <v>1144</v>
      </c>
      <c r="B4" s="3" t="s">
        <v>1145</v>
      </c>
      <c r="C4" s="3" t="s">
        <v>1146</v>
      </c>
      <c r="D4" s="3" t="s">
        <v>572</v>
      </c>
      <c r="E4" s="3" t="s">
        <v>1147</v>
      </c>
      <c r="F4" s="3" t="s">
        <v>1148</v>
      </c>
    </row>
    <row r="5" spans="1:6" ht="28">
      <c r="A5" s="3" t="s">
        <v>1149</v>
      </c>
      <c r="B5" s="3" t="s">
        <v>1150</v>
      </c>
      <c r="C5" s="3" t="s">
        <v>1151</v>
      </c>
      <c r="D5" s="3" t="s">
        <v>65</v>
      </c>
      <c r="E5" s="3" t="s">
        <v>1152</v>
      </c>
      <c r="F5" s="3" t="s">
        <v>1153</v>
      </c>
    </row>
    <row r="6" spans="1:6">
      <c r="A6" s="3" t="s">
        <v>1154</v>
      </c>
      <c r="B6" s="3" t="s">
        <v>1155</v>
      </c>
      <c r="C6" s="3" t="s">
        <v>1156</v>
      </c>
      <c r="D6" s="3" t="s">
        <v>73</v>
      </c>
      <c r="E6" s="3" t="s">
        <v>1157</v>
      </c>
      <c r="F6" s="3" t="s">
        <v>1158</v>
      </c>
    </row>
    <row r="7" spans="1:6">
      <c r="A7" s="3" t="s">
        <v>1159</v>
      </c>
      <c r="B7" s="3" t="s">
        <v>1160</v>
      </c>
      <c r="C7" s="3" t="s">
        <v>1161</v>
      </c>
      <c r="D7" s="3" t="s">
        <v>572</v>
      </c>
      <c r="E7" s="3" t="s">
        <v>1162</v>
      </c>
      <c r="F7" s="3" t="s">
        <v>1163</v>
      </c>
    </row>
    <row r="8" spans="1:6">
      <c r="A8" s="3" t="s">
        <v>1164</v>
      </c>
      <c r="B8" s="3" t="s">
        <v>1165</v>
      </c>
      <c r="C8" s="3" t="s">
        <v>1166</v>
      </c>
      <c r="D8" s="3" t="s">
        <v>73</v>
      </c>
      <c r="E8" s="3" t="s">
        <v>1167</v>
      </c>
      <c r="F8" s="3" t="s">
        <v>1168</v>
      </c>
    </row>
    <row r="9" spans="1:6">
      <c r="A9" s="3" t="s">
        <v>1169</v>
      </c>
      <c r="B9" s="3" t="s">
        <v>1170</v>
      </c>
      <c r="C9" s="3" t="s">
        <v>1171</v>
      </c>
      <c r="D9" s="3" t="s">
        <v>572</v>
      </c>
      <c r="E9" s="3" t="s">
        <v>1172</v>
      </c>
      <c r="F9" s="3" t="s">
        <v>1173</v>
      </c>
    </row>
    <row r="10" spans="1:6">
      <c r="A10" s="3" t="s">
        <v>1174</v>
      </c>
      <c r="B10" s="3" t="s">
        <v>1175</v>
      </c>
      <c r="C10" s="3" t="s">
        <v>1176</v>
      </c>
      <c r="D10" s="3" t="s">
        <v>572</v>
      </c>
      <c r="E10" s="3" t="s">
        <v>1177</v>
      </c>
      <c r="F10" s="3" t="s">
        <v>1178</v>
      </c>
    </row>
    <row r="11" spans="1:6">
      <c r="A11" s="3" t="s">
        <v>1179</v>
      </c>
      <c r="B11" s="3" t="s">
        <v>1180</v>
      </c>
      <c r="C11" s="3" t="s">
        <v>1181</v>
      </c>
      <c r="D11" s="3" t="s">
        <v>572</v>
      </c>
      <c r="E11" s="3" t="s">
        <v>1182</v>
      </c>
      <c r="F11" s="3" t="s">
        <v>1183</v>
      </c>
    </row>
    <row r="12" spans="1:6">
      <c r="A12" s="3" t="s">
        <v>1184</v>
      </c>
      <c r="B12" s="3" t="s">
        <v>1185</v>
      </c>
      <c r="C12" s="3" t="s">
        <v>1146</v>
      </c>
      <c r="D12" s="3" t="s">
        <v>65</v>
      </c>
      <c r="E12" s="3" t="s">
        <v>1186</v>
      </c>
      <c r="F12" s="3" t="s">
        <v>1187</v>
      </c>
    </row>
    <row r="13" spans="1:6">
      <c r="A13" s="3" t="s">
        <v>1188</v>
      </c>
      <c r="B13" s="3" t="s">
        <v>1189</v>
      </c>
      <c r="C13" s="3" t="s">
        <v>1190</v>
      </c>
      <c r="D13" s="3" t="s">
        <v>572</v>
      </c>
      <c r="E13" s="3" t="s">
        <v>1191</v>
      </c>
      <c r="F13" s="3" t="s">
        <v>1192</v>
      </c>
    </row>
    <row r="14" spans="1:6">
      <c r="A14" s="3" t="s">
        <v>1193</v>
      </c>
      <c r="B14" s="3" t="s">
        <v>1194</v>
      </c>
      <c r="C14" s="3" t="s">
        <v>1195</v>
      </c>
      <c r="D14" s="3" t="s">
        <v>1196</v>
      </c>
      <c r="E14" s="3" t="s">
        <v>1197</v>
      </c>
      <c r="F14" s="3" t="s">
        <v>1198</v>
      </c>
    </row>
    <row r="15" spans="1:6">
      <c r="A15" s="3" t="s">
        <v>1199</v>
      </c>
      <c r="B15" s="3" t="s">
        <v>1200</v>
      </c>
      <c r="C15" s="3" t="s">
        <v>1201</v>
      </c>
      <c r="D15" s="3" t="s">
        <v>572</v>
      </c>
      <c r="E15" s="3" t="s">
        <v>1202</v>
      </c>
      <c r="F15" s="3" t="s">
        <v>1203</v>
      </c>
    </row>
    <row r="16" spans="1:6">
      <c r="A16" s="3" t="s">
        <v>1204</v>
      </c>
      <c r="B16" s="3" t="s">
        <v>1205</v>
      </c>
      <c r="C16" s="3" t="s">
        <v>1206</v>
      </c>
      <c r="D16" s="3" t="s">
        <v>572</v>
      </c>
      <c r="E16" s="3" t="s">
        <v>1207</v>
      </c>
      <c r="F16" s="3" t="s">
        <v>1208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9"/>
  <sheetViews>
    <sheetView workbookViewId="0"/>
  </sheetViews>
  <sheetFormatPr defaultRowHeight="14"/>
  <cols>
    <col min="1" max="1" width="9" customWidth="1"/>
    <col min="2" max="2" width="36" customWidth="1"/>
    <col min="3" max="3" width="18" customWidth="1"/>
    <col min="4" max="5" width="14" customWidth="1"/>
    <col min="6" max="6" width="55" customWidth="1"/>
    <col min="7" max="7" width="48" customWidth="1"/>
    <col min="8" max="8" width="36" customWidth="1"/>
    <col min="9" max="9" width="18" customWidth="1"/>
    <col min="10" max="10" width="48" customWidth="1"/>
  </cols>
  <sheetData>
    <row r="1" spans="1:10" ht="20">
      <c r="A1" s="13" t="s">
        <v>1209</v>
      </c>
      <c r="B1" s="13"/>
      <c r="C1" s="13"/>
      <c r="D1" s="13"/>
      <c r="E1" s="13"/>
      <c r="F1" s="13"/>
      <c r="G1" s="13"/>
      <c r="H1" s="13"/>
      <c r="I1" s="13"/>
      <c r="J1" s="13"/>
    </row>
    <row r="3" spans="1:10">
      <c r="A3" s="10" t="s">
        <v>142</v>
      </c>
      <c r="B3" s="10" t="s">
        <v>1210</v>
      </c>
      <c r="C3" s="10" t="s">
        <v>1211</v>
      </c>
      <c r="D3" s="10" t="s">
        <v>1212</v>
      </c>
      <c r="E3" s="10" t="s">
        <v>1213</v>
      </c>
      <c r="F3" s="10" t="s">
        <v>1214</v>
      </c>
      <c r="G3" s="10" t="s">
        <v>1215</v>
      </c>
      <c r="H3" s="10" t="s">
        <v>60</v>
      </c>
      <c r="I3" s="10" t="s">
        <v>1216</v>
      </c>
      <c r="J3" s="10" t="s">
        <v>6</v>
      </c>
    </row>
    <row r="4" spans="1:10" ht="28">
      <c r="A4" s="3" t="s">
        <v>1217</v>
      </c>
      <c r="B4" s="3" t="s">
        <v>1218</v>
      </c>
      <c r="C4" s="3" t="s">
        <v>301</v>
      </c>
      <c r="D4" s="3" t="s">
        <v>164</v>
      </c>
      <c r="E4" s="3" t="s">
        <v>45</v>
      </c>
      <c r="F4" s="3" t="s">
        <v>1219</v>
      </c>
      <c r="G4" s="3" t="s">
        <v>1220</v>
      </c>
      <c r="H4" s="3" t="s">
        <v>1221</v>
      </c>
      <c r="I4" s="3" t="s">
        <v>164</v>
      </c>
      <c r="J4" s="3" t="s">
        <v>1222</v>
      </c>
    </row>
    <row r="5" spans="1:10" ht="28">
      <c r="A5" s="3" t="s">
        <v>1223</v>
      </c>
      <c r="B5" s="3" t="s">
        <v>1224</v>
      </c>
      <c r="C5" s="3" t="s">
        <v>301</v>
      </c>
      <c r="D5" s="3" t="s">
        <v>164</v>
      </c>
      <c r="E5" s="3" t="s">
        <v>45</v>
      </c>
      <c r="F5" s="3" t="s">
        <v>1225</v>
      </c>
      <c r="G5" s="3" t="s">
        <v>1226</v>
      </c>
      <c r="H5" s="3" t="s">
        <v>1227</v>
      </c>
      <c r="I5" s="3" t="s">
        <v>1228</v>
      </c>
      <c r="J5" s="3" t="s">
        <v>1229</v>
      </c>
    </row>
    <row r="6" spans="1:10" ht="28">
      <c r="A6" s="3" t="s">
        <v>1230</v>
      </c>
      <c r="B6" s="3" t="s">
        <v>1231</v>
      </c>
      <c r="C6" s="3" t="s">
        <v>301</v>
      </c>
      <c r="D6" s="3" t="s">
        <v>364</v>
      </c>
      <c r="E6" s="3" t="s">
        <v>45</v>
      </c>
      <c r="F6" s="3" t="s">
        <v>1232</v>
      </c>
      <c r="G6" s="3" t="s">
        <v>1233</v>
      </c>
      <c r="H6" s="3" t="s">
        <v>1234</v>
      </c>
      <c r="I6" s="3" t="s">
        <v>364</v>
      </c>
      <c r="J6" s="3" t="s">
        <v>1235</v>
      </c>
    </row>
    <row r="7" spans="1:10" ht="28">
      <c r="A7" s="3" t="s">
        <v>1236</v>
      </c>
      <c r="B7" s="3" t="s">
        <v>1237</v>
      </c>
      <c r="C7" s="3" t="s">
        <v>301</v>
      </c>
      <c r="D7" s="3" t="s">
        <v>364</v>
      </c>
      <c r="E7" s="3" t="s">
        <v>45</v>
      </c>
      <c r="F7" s="3" t="s">
        <v>1238</v>
      </c>
      <c r="G7" s="3" t="s">
        <v>1239</v>
      </c>
      <c r="H7" s="3" t="s">
        <v>1240</v>
      </c>
      <c r="I7" s="3" t="s">
        <v>364</v>
      </c>
      <c r="J7" s="3" t="s">
        <v>1241</v>
      </c>
    </row>
    <row r="8" spans="1:10" ht="28">
      <c r="A8" s="3" t="s">
        <v>1242</v>
      </c>
      <c r="B8" s="3" t="s">
        <v>1243</v>
      </c>
      <c r="C8" s="3" t="s">
        <v>444</v>
      </c>
      <c r="D8" s="3" t="s">
        <v>364</v>
      </c>
      <c r="E8" s="3" t="s">
        <v>45</v>
      </c>
      <c r="F8" s="3" t="s">
        <v>1244</v>
      </c>
      <c r="G8" s="3" t="s">
        <v>1245</v>
      </c>
      <c r="H8" s="3" t="s">
        <v>1246</v>
      </c>
      <c r="I8" s="3" t="s">
        <v>164</v>
      </c>
      <c r="J8" s="3" t="s">
        <v>1247</v>
      </c>
    </row>
    <row r="9" spans="1:10">
      <c r="A9" s="3" t="s">
        <v>1248</v>
      </c>
      <c r="B9" s="3" t="s">
        <v>1249</v>
      </c>
      <c r="C9" s="3" t="s">
        <v>326</v>
      </c>
      <c r="D9" s="3" t="s">
        <v>364</v>
      </c>
      <c r="E9" s="3" t="s">
        <v>45</v>
      </c>
      <c r="F9" s="3" t="s">
        <v>1250</v>
      </c>
      <c r="G9" s="3" t="s">
        <v>1251</v>
      </c>
      <c r="H9" s="3" t="s">
        <v>1252</v>
      </c>
      <c r="I9" s="3" t="s">
        <v>364</v>
      </c>
      <c r="J9" s="3" t="s">
        <v>1253</v>
      </c>
    </row>
    <row r="10" spans="1:10" ht="28">
      <c r="A10" s="3" t="s">
        <v>1254</v>
      </c>
      <c r="B10" s="3" t="s">
        <v>1255</v>
      </c>
      <c r="C10" s="3" t="s">
        <v>368</v>
      </c>
      <c r="D10" s="3" t="s">
        <v>164</v>
      </c>
      <c r="E10" s="3" t="s">
        <v>45</v>
      </c>
      <c r="F10" s="3" t="s">
        <v>1256</v>
      </c>
      <c r="G10" s="3" t="s">
        <v>1257</v>
      </c>
      <c r="H10" s="3" t="s">
        <v>1258</v>
      </c>
      <c r="I10" s="3" t="s">
        <v>164</v>
      </c>
      <c r="J10" s="3" t="s">
        <v>1259</v>
      </c>
    </row>
    <row r="11" spans="1:10" ht="28">
      <c r="A11" s="3" t="s">
        <v>1260</v>
      </c>
      <c r="B11" s="3" t="s">
        <v>1261</v>
      </c>
      <c r="C11" s="3" t="s">
        <v>805</v>
      </c>
      <c r="D11" s="3" t="s">
        <v>364</v>
      </c>
      <c r="E11" s="3" t="s">
        <v>45</v>
      </c>
      <c r="F11" s="3" t="s">
        <v>1262</v>
      </c>
      <c r="G11" s="3" t="s">
        <v>1263</v>
      </c>
      <c r="H11" s="3" t="s">
        <v>1264</v>
      </c>
      <c r="I11" s="3" t="s">
        <v>364</v>
      </c>
      <c r="J11" s="3" t="s">
        <v>1265</v>
      </c>
    </row>
    <row r="12" spans="1:10" ht="28">
      <c r="A12" s="3" t="s">
        <v>1266</v>
      </c>
      <c r="B12" s="3" t="s">
        <v>1267</v>
      </c>
      <c r="C12" s="3" t="s">
        <v>189</v>
      </c>
      <c r="D12" s="3" t="s">
        <v>441</v>
      </c>
      <c r="E12" s="3" t="s">
        <v>45</v>
      </c>
      <c r="F12" s="3" t="s">
        <v>1268</v>
      </c>
      <c r="G12" s="3" t="s">
        <v>1269</v>
      </c>
      <c r="H12" s="3" t="s">
        <v>1270</v>
      </c>
      <c r="I12" s="3" t="s">
        <v>1228</v>
      </c>
      <c r="J12" s="3" t="s">
        <v>1271</v>
      </c>
    </row>
    <row r="13" spans="1:10" ht="28">
      <c r="A13" s="3" t="s">
        <v>1272</v>
      </c>
      <c r="B13" s="3" t="s">
        <v>1273</v>
      </c>
      <c r="C13" s="3" t="s">
        <v>185</v>
      </c>
      <c r="D13" s="3" t="s">
        <v>441</v>
      </c>
      <c r="E13" s="3" t="s">
        <v>45</v>
      </c>
      <c r="F13" s="3" t="s">
        <v>1274</v>
      </c>
      <c r="G13" s="3" t="s">
        <v>1275</v>
      </c>
      <c r="H13" s="3" t="s">
        <v>1276</v>
      </c>
      <c r="I13" s="3" t="s">
        <v>1228</v>
      </c>
      <c r="J13" s="3" t="s">
        <v>1277</v>
      </c>
    </row>
    <row r="14" spans="1:10" ht="28">
      <c r="A14" s="3" t="s">
        <v>1278</v>
      </c>
      <c r="B14" s="3" t="s">
        <v>1279</v>
      </c>
      <c r="C14" s="3" t="s">
        <v>1280</v>
      </c>
      <c r="D14" s="3" t="s">
        <v>364</v>
      </c>
      <c r="E14" s="3" t="s">
        <v>45</v>
      </c>
      <c r="F14" s="3" t="s">
        <v>1281</v>
      </c>
      <c r="G14" s="3" t="s">
        <v>1282</v>
      </c>
      <c r="H14" s="3" t="s">
        <v>1283</v>
      </c>
      <c r="I14" s="3" t="s">
        <v>164</v>
      </c>
      <c r="J14" s="3" t="s">
        <v>1284</v>
      </c>
    </row>
    <row r="15" spans="1:10" ht="28">
      <c r="A15" s="3" t="s">
        <v>1285</v>
      </c>
      <c r="B15" s="3" t="s">
        <v>1286</v>
      </c>
      <c r="C15" s="3" t="s">
        <v>368</v>
      </c>
      <c r="D15" s="3" t="s">
        <v>364</v>
      </c>
      <c r="E15" s="3" t="s">
        <v>45</v>
      </c>
      <c r="F15" s="3" t="s">
        <v>1287</v>
      </c>
      <c r="G15" s="3" t="s">
        <v>1288</v>
      </c>
      <c r="H15" s="3" t="s">
        <v>1289</v>
      </c>
      <c r="I15" s="3" t="s">
        <v>164</v>
      </c>
      <c r="J15" s="3" t="s">
        <v>1290</v>
      </c>
    </row>
    <row r="16" spans="1:10">
      <c r="A16" s="3" t="s">
        <v>1291</v>
      </c>
      <c r="B16" s="3" t="s">
        <v>1292</v>
      </c>
      <c r="C16" s="3" t="s">
        <v>954</v>
      </c>
      <c r="D16" s="3" t="s">
        <v>364</v>
      </c>
      <c r="E16" s="3" t="s">
        <v>45</v>
      </c>
      <c r="F16" s="3" t="s">
        <v>1293</v>
      </c>
      <c r="G16" s="3" t="s">
        <v>1294</v>
      </c>
      <c r="H16" s="3" t="s">
        <v>1295</v>
      </c>
      <c r="I16" s="3" t="s">
        <v>364</v>
      </c>
      <c r="J16" s="3" t="s">
        <v>1296</v>
      </c>
    </row>
    <row r="17" spans="1:10">
      <c r="A17" s="3" t="s">
        <v>1297</v>
      </c>
      <c r="B17" s="3" t="s">
        <v>1298</v>
      </c>
      <c r="C17" s="3" t="s">
        <v>512</v>
      </c>
      <c r="D17" s="3" t="s">
        <v>441</v>
      </c>
      <c r="E17" s="3" t="s">
        <v>45</v>
      </c>
      <c r="F17" s="3" t="s">
        <v>1299</v>
      </c>
      <c r="G17" s="3" t="s">
        <v>1300</v>
      </c>
      <c r="H17" s="3" t="s">
        <v>1301</v>
      </c>
      <c r="I17" s="3" t="s">
        <v>364</v>
      </c>
      <c r="J17" s="3" t="s">
        <v>1302</v>
      </c>
    </row>
    <row r="18" spans="1:10" ht="28">
      <c r="A18" s="3" t="s">
        <v>1303</v>
      </c>
      <c r="B18" s="3" t="s">
        <v>1304</v>
      </c>
      <c r="C18" s="3" t="s">
        <v>1305</v>
      </c>
      <c r="D18" s="3" t="s">
        <v>164</v>
      </c>
      <c r="E18" s="3" t="s">
        <v>45</v>
      </c>
      <c r="F18" s="3" t="s">
        <v>1306</v>
      </c>
      <c r="G18" s="3" t="s">
        <v>1307</v>
      </c>
      <c r="H18" s="3" t="s">
        <v>1308</v>
      </c>
      <c r="I18" s="3" t="s">
        <v>164</v>
      </c>
      <c r="J18" s="3" t="s">
        <v>1309</v>
      </c>
    </row>
    <row r="19" spans="1:10" ht="28">
      <c r="A19" s="3" t="s">
        <v>1310</v>
      </c>
      <c r="B19" s="3" t="s">
        <v>1311</v>
      </c>
      <c r="C19" s="3" t="s">
        <v>1312</v>
      </c>
      <c r="D19" s="3" t="s">
        <v>441</v>
      </c>
      <c r="E19" s="3" t="s">
        <v>45</v>
      </c>
      <c r="F19" s="3" t="s">
        <v>1313</v>
      </c>
      <c r="G19" s="3" t="s">
        <v>1314</v>
      </c>
      <c r="H19" s="3" t="s">
        <v>1315</v>
      </c>
      <c r="I19" s="3" t="s">
        <v>364</v>
      </c>
      <c r="J19" s="3" t="s">
        <v>1316</v>
      </c>
    </row>
  </sheetData>
  <mergeCells count="1">
    <mergeCell ref="A1:J1"/>
  </mergeCells>
  <dataValidations count="2">
    <dataValidation type="list" sqref="D4:D19" xr:uid="{00000000-0002-0000-0E00-000000000000}">
      <formula1>"High,Medium,Low"</formula1>
    </dataValidation>
    <dataValidation type="list" sqref="E4:E19" xr:uid="{00000000-0002-0000-0E00-000001000000}">
      <formula1>"Deferred,Research,Planned,In Progress,Done"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Assumptions</vt:lpstr>
      <vt:lpstr>Roadmap</vt:lpstr>
      <vt:lpstr>Task Register</vt:lpstr>
      <vt:lpstr>Milestones</vt:lpstr>
      <vt:lpstr>Sprints</vt:lpstr>
      <vt:lpstr>Release Plan</vt:lpstr>
      <vt:lpstr>Module Scope</vt:lpstr>
      <vt:lpstr>Risks</vt:lpstr>
      <vt:lpstr>RACI</vt:lpstr>
      <vt:lpstr>QA &amp; Gates</vt:lpstr>
      <vt:lpstr>Change Log</vt:lpstr>
      <vt:lpstr>Gantt</vt:lpstr>
      <vt:lpstr>Dashboard</vt:lpstr>
      <vt:lpstr>README</vt:lpstr>
      <vt:lpstr>Future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Younas Khan</cp:lastModifiedBy>
  <dcterms:modified xsi:type="dcterms:W3CDTF">2026-09-27T13:08:57Z</dcterms:modified>
</cp:coreProperties>
</file>